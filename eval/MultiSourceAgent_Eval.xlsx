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3765" windowWidth="38640" windowHeight="21840" tabRatio="500" firstSheet="0" activeTab="0" autoFilterDateGrouping="1"/>
  </bookViews>
  <sheets>
    <sheet name="Eval" sheetId="1" state="visible" r:id="rId1"/>
    <sheet name="Summary" sheetId="2" state="visible" r:id="rId2"/>
    <sheet name="Conventions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Calibri"/>
      <b val="1"/>
      <color rgb="FFFFFFFF"/>
      <sz val="11"/>
    </font>
  </fonts>
  <fills count="10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5496"/>
      </patternFill>
    </fill>
    <fill>
      <patternFill patternType="solid">
        <fgColor rgb="FF1F38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0" borderId="0" applyAlignment="1" pivotButton="0" quotePrefix="0" xfId="0">
      <alignment wrapText="1"/>
    </xf>
    <xf numFmtId="0" fontId="0" fillId="8" borderId="1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0" borderId="4" pivotButton="0" quotePrefix="0" xfId="0"/>
    <xf numFmtId="0" fontId="0" fillId="0" borderId="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FCE4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tabSelected="1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:A2"/>
    </sheetView>
  </sheetViews>
  <sheetFormatPr baseColWidth="8" defaultRowHeight="15"/>
  <cols>
    <col width="4.42578125" bestFit="1" customWidth="1" style="9" min="1" max="2"/>
    <col width="33.5703125" bestFit="1" customWidth="1" style="9" min="3" max="3"/>
    <col width="30" customWidth="1" style="9" min="4" max="4"/>
    <col width="64.42578125" customWidth="1" style="9" min="5" max="5"/>
    <col width="34" customWidth="1" style="9" min="6" max="6"/>
    <col width="45.42578125" customWidth="1" style="15" min="7" max="7"/>
    <col width="15.28515625" customWidth="1" style="9" min="8" max="8"/>
    <col width="45.42578125" customWidth="1" style="15" min="9" max="9"/>
    <col width="15.28515625" customWidth="1" style="9" min="10" max="10"/>
    <col width="45.42578125" customWidth="1" style="15" min="11" max="11"/>
    <col width="15.28515625" customWidth="1" style="9" min="12" max="12"/>
  </cols>
  <sheetData>
    <row r="1">
      <c r="A1" s="10" t="inlineStr">
        <is>
          <t>#</t>
        </is>
      </c>
      <c r="B1" s="10" t="inlineStr">
        <is>
          <t>Tier</t>
        </is>
      </c>
      <c r="C1" s="10" t="inlineStr">
        <is>
          <t>Question</t>
        </is>
      </c>
      <c r="D1" s="10" t="inlineStr">
        <is>
          <t>What it tests</t>
        </is>
      </c>
      <c r="E1" s="10" t="inlineStr">
        <is>
          <t>Gold answer</t>
        </is>
      </c>
      <c r="F1" s="10" t="inlineStr">
        <is>
          <t>Expected Raw (bare) failure</t>
        </is>
      </c>
      <c r="G1" s="10" t="inlineStr">
        <is>
          <t>Raw (bare)</t>
        </is>
      </c>
      <c r="H1" s="18" t="n"/>
      <c r="I1" s="10" t="inlineStr">
        <is>
          <t>Raw_Plus</t>
        </is>
      </c>
      <c r="J1" s="18" t="n"/>
      <c r="K1" s="10" t="inlineStr">
        <is>
          <t>Modeled</t>
        </is>
      </c>
      <c r="L1" s="18" t="n"/>
    </row>
    <row r="2">
      <c r="A2" s="19" t="n"/>
      <c r="B2" s="19" t="n"/>
      <c r="C2" s="19" t="n"/>
      <c r="D2" s="19" t="n"/>
      <c r="E2" s="19" t="n"/>
      <c r="F2" s="19" t="n"/>
      <c r="G2" s="11" t="inlineStr">
        <is>
          <t>Comment</t>
        </is>
      </c>
      <c r="H2" s="11" t="inlineStr">
        <is>
          <t>Score</t>
        </is>
      </c>
      <c r="I2" s="11" t="inlineStr">
        <is>
          <t>Comment</t>
        </is>
      </c>
      <c r="J2" s="11" t="inlineStr">
        <is>
          <t>Score</t>
        </is>
      </c>
      <c r="K2" s="11" t="inlineStr">
        <is>
          <t>Comment</t>
        </is>
      </c>
      <c r="L2" s="11" t="inlineStr">
        <is>
          <t>Score</t>
        </is>
      </c>
    </row>
    <row r="3" ht="30" customHeight="1" s="9">
      <c r="A3" s="4" t="inlineStr">
        <is>
          <t>Q1</t>
        </is>
      </c>
      <c r="B3" s="5" t="n">
        <v>1</v>
      </c>
      <c r="C3" s="6" t="inlineStr">
        <is>
          <t>What was our revenue in Q1 2026 by channel?</t>
        </is>
      </c>
      <c r="D3" s="6" t="inlineStr">
        <is>
          <t>Both answer; baseline for token comparison</t>
        </is>
      </c>
      <c r="E3" s="6" t="inlineStr">
        <is>
          <t>Online $7.030M / Retail $7.156M / Wholesale $6.911M; total $21.097M (ERP, Jan-Mar 2026)</t>
        </is>
      </c>
      <c r="F3" s="6" t="inlineStr">
        <is>
          <t>Should pass — single clean table</t>
        </is>
      </c>
      <c r="G3" s="6" t="n"/>
      <c r="H3" s="12" t="n"/>
      <c r="I3" s="6" t="n"/>
      <c r="J3" s="12" t="n"/>
      <c r="K3" s="6" t="n"/>
      <c r="L3" s="12" t="n"/>
    </row>
    <row r="4" ht="45" customHeight="1" s="9">
      <c r="A4" s="4" t="inlineStr">
        <is>
          <t>Q2</t>
        </is>
      </c>
      <c r="B4" s="5" t="n">
        <v>1</v>
      </c>
      <c r="C4" s="6" t="inlineStr">
        <is>
          <t>What are our top 5 products by revenue?</t>
        </is>
      </c>
      <c r="D4" s="6" t="inlineStr">
        <is>
          <t>May differ if it tries to include unjoinable sources</t>
        </is>
      </c>
      <c r="E4" s="6" t="inlineStr">
        <is>
          <t>SKU-0074 Terminal Block $6.68M; SKU-0094 Hydraulic Hose $4.86M; SKU-0014 Rocker Switch $4.77M; SKU-0079 IEC Connector $4.42M; SKU-0080 Stretch Wrap $4.33M (ERP, full window)</t>
        </is>
      </c>
      <c r="F4" s="6" t="inlineStr">
        <is>
          <t>Should pass</t>
        </is>
      </c>
      <c r="G4" s="6" t="n"/>
      <c r="H4" s="12" t="n"/>
      <c r="I4" s="6" t="n"/>
      <c r="J4" s="12" t="n"/>
      <c r="K4" s="6" t="n"/>
      <c r="L4" s="12" t="n"/>
    </row>
    <row r="5" ht="30" customHeight="1" s="9">
      <c r="A5" s="4" t="inlineStr">
        <is>
          <t>Q3</t>
        </is>
      </c>
      <c r="B5" s="5" t="n">
        <v>1</v>
      </c>
      <c r="C5" s="6" t="inlineStr">
        <is>
          <t>What was our stockout rate in May 2026?</t>
        </is>
      </c>
      <c r="D5" s="6" t="inlineStr">
        <is>
          <t>Definition drift possible (share of SKUs vs share of rows)</t>
        </is>
      </c>
      <c r="E5" s="6" t="inlineStr">
        <is>
          <t>1.52% of SKU-location-days (ERP daily snapshots, May 2026)</t>
        </is>
      </c>
      <c r="F5" s="6" t="inlineStr">
        <is>
          <t>Should pass — is_stockout flag exists raw</t>
        </is>
      </c>
      <c r="G5" s="6" t="n"/>
      <c r="H5" s="12" t="n"/>
      <c r="I5" s="6" t="n"/>
      <c r="J5" s="12" t="n"/>
      <c r="K5" s="6" t="n"/>
      <c r="L5" s="13" t="n"/>
    </row>
    <row r="6" ht="105" customHeight="1" s="9">
      <c r="A6" s="4" t="inlineStr">
        <is>
          <t>Q4</t>
        </is>
      </c>
      <c r="B6" s="5" t="n">
        <v>2</v>
      </c>
      <c r="C6" s="6" t="inlineStr">
        <is>
          <t>What were total company sales in May 2026, including Lakeside and the marketplace?</t>
        </is>
      </c>
      <c r="D6" s="6" t="inlineStr">
        <is>
          <t>Tests cross-source conformance + gross/net rule</t>
        </is>
      </c>
      <c r="E6" s="6" t="inlineStr">
        <is>
          <t>$10.054M = ERP $8.382M + marketplace NET $0.622M + Lakeside $1.051M</t>
        </is>
      </c>
      <c r="F6" s="6" t="inlineStr">
        <is>
          <t>ERP-only $8.382M, or $9.106M using marketplace GROSS; Lakeside missed (text DD/MM/YYYY dates, no join)</t>
        </is>
      </c>
      <c r="G6" s="6" t="n"/>
      <c r="H6" s="14" t="n"/>
      <c r="I6" s="6" t="n"/>
      <c r="J6" s="13" t="n"/>
      <c r="K6" s="6" t="n"/>
      <c r="L6" s="12" t="n"/>
    </row>
    <row r="7" ht="105" customHeight="1" s="9">
      <c r="A7" s="4" t="inlineStr">
        <is>
          <t>Q5</t>
        </is>
      </c>
      <c r="B7" s="5" t="n">
        <v>2</v>
      </c>
      <c r="C7" s="6" t="inlineStr">
        <is>
          <t>What is our net marketplace revenue after fees, by month?</t>
        </is>
      </c>
      <c r="D7" s="6" t="inlineStr">
        <is>
          <t>Gross-vs-net trap</t>
        </is>
      </c>
      <c r="E7" s="6" t="inlineStr">
        <is>
          <t>Full window $7.335M net (gross $8.534M, fees 14.0%). E.g. Mar-26 $638K, Apr-26 $594K, May-26 $622K</t>
        </is>
      </c>
      <c r="F7" s="6" t="inlineStr">
        <is>
          <t>Reports gross from mm_orders (no settlement join): ~16% overstated</t>
        </is>
      </c>
      <c r="G7" s="6" t="n"/>
      <c r="H7" s="14" t="n"/>
      <c r="I7" s="6" t="n"/>
      <c r="J7" s="14" t="n"/>
      <c r="K7" s="6" t="n"/>
      <c r="L7" s="12" t="n"/>
    </row>
    <row r="8" ht="75" customHeight="1" s="9">
      <c r="A8" s="4" t="inlineStr">
        <is>
          <t>Q6</t>
        </is>
      </c>
      <c r="B8" s="5" t="n">
        <v>2</v>
      </c>
      <c r="C8" s="6" t="inlineStr">
        <is>
          <t>Which products generate the most helpdesk tickets per 1,000 units sold?</t>
        </is>
      </c>
      <c r="D8" s="6" t="inlineStr">
        <is>
          <t>Free-text conformance + ratio convention</t>
        </is>
      </c>
      <c r="E8" s="6" t="inlineStr">
        <is>
          <t>SKU-0045 Titan Solenoid Valve 142.7/1K (2,041 tickets); SKU-0014 Titan Rocker Switch 115.9/1K (1,967); next SKU-0085 at 40.5. Convention: SKUs with &gt;=1,000 units; 88% of ticket refs resolve</t>
        </is>
      </c>
      <c r="F8" s="6" t="inlineStr">
        <is>
          <t>Cannot join free-text productRef to units; hallucinated join or refusal</t>
        </is>
      </c>
      <c r="G8" s="6" t="n"/>
      <c r="H8" s="17" t="n"/>
      <c r="I8" s="6" t="n"/>
      <c r="J8" s="17" t="n"/>
      <c r="K8" s="6" t="n"/>
      <c r="L8" s="12" t="n"/>
    </row>
    <row r="9" ht="90" customHeight="1" s="9">
      <c r="A9" s="4" t="inlineStr">
        <is>
          <t>Q7</t>
        </is>
      </c>
      <c r="B9" s="5" t="n">
        <v>2</v>
      </c>
      <c r="C9" s="6" t="inlineStr">
        <is>
          <t>What is the service parts attach rate for Hydraulics products?</t>
        </is>
      </c>
      <c r="D9" s="6" t="inlineStr">
        <is>
          <t>ITM code conformance</t>
        </is>
      </c>
      <c r="E9" s="6" t="inlineStr">
        <is>
          <t>8.1 parts per 100 units sold (16,156 parts / 199,192 Hydraulics units)</t>
        </is>
      </c>
      <c r="F9" s="6" t="inlineStr">
        <is>
          <t>Cannot resolve ITM- codes to SKUs; wrong denominator or hallucination</t>
        </is>
      </c>
      <c r="G9" s="6" t="n"/>
      <c r="H9" s="16" t="n"/>
      <c r="I9" s="6" t="n"/>
      <c r="J9" s="17" t="n"/>
      <c r="K9" s="6" t="n"/>
      <c r="L9" s="13" t="n"/>
    </row>
    <row r="10" ht="105" customHeight="1" s="9">
      <c r="A10" s="4" t="inlineStr">
        <is>
          <t>Q8</t>
        </is>
      </c>
      <c r="B10" s="5" t="n">
        <v>3</v>
      </c>
      <c r="C10" s="6" t="inlineStr">
        <is>
          <t>Which A-class products have open complaints AND are at stockout risk in the merged network?</t>
        </is>
      </c>
      <c r="D10" s="6" t="inlineStr">
        <is>
          <t>The flagship multi-hop question</t>
        </is>
      </c>
      <c r="E10" s="6" t="inlineStr">
        <is>
          <t>SKU-0014 Titan Rocker Switch 20A and SKU-0045 Titan Solenoid Valve 1in (open complaint tickets; on-hand &lt;= safety stock at 2026-05-31; near-zero Lakeside counts)</t>
        </is>
      </c>
      <c r="F10" s="6" t="inlineStr">
        <is>
          <t>Multi-hop across 4 sources fails; likely hallucinated list</t>
        </is>
      </c>
      <c r="G10" s="6" t="n"/>
      <c r="H10" s="17" t="n"/>
      <c r="I10" s="6" t="n"/>
      <c r="J10" s="17" t="n"/>
      <c r="K10" s="6" t="n"/>
      <c r="L10" s="12" t="n"/>
    </row>
    <row r="11" ht="90" customHeight="1" s="9">
      <c r="A11" s="4" t="inlineStr">
        <is>
          <t>Q9</t>
        </is>
      </c>
      <c r="B11" s="5" t="n">
        <v>3</v>
      </c>
      <c r="C11" s="6" t="inlineStr">
        <is>
          <t>Compare Lakeside store sell-through vs our DCs since the acquisition.</t>
        </is>
      </c>
      <c r="D11" s="6" t="inlineStr">
        <is>
          <t>Mixed-grain inventory + acquisition date</t>
        </is>
      </c>
      <c r="E11" s="6" t="inlineStr">
        <is>
          <t>Feb-May 2026: Lakeside 2.85x (46,145 units / 16,187 avg on-hand) vs DCs 1.70x (234,391 / 138,261). Lakeside turns ~1.7x faster</t>
        </is>
      </c>
      <c r="F11" s="6" t="inlineStr">
        <is>
          <t>Cannot parse Lakeside text dates or weekly counts; no answer or invented numbers</t>
        </is>
      </c>
      <c r="G11" s="6" t="n"/>
      <c r="H11" s="17" t="n"/>
      <c r="I11" s="6" t="n"/>
      <c r="J11" s="17" t="n"/>
      <c r="K11" s="6" t="n"/>
      <c r="L11" s="12" t="n"/>
    </row>
    <row r="12" ht="75" customHeight="1" s="9">
      <c r="A12" s="4" t="inlineStr">
        <is>
          <t>Q10</t>
        </is>
      </c>
      <c r="B12" s="5" t="n">
        <v>3</v>
      </c>
      <c r="C12" s="6" t="inlineStr">
        <is>
          <t>What were Lakeside sales on 03/02/2026?</t>
        </is>
      </c>
      <c r="D12" s="6" t="inlineStr">
        <is>
          <t>Date-format trap</t>
        </is>
      </c>
      <c r="E12" s="6" t="inlineStr">
        <is>
          <t>$36,836 (Feb 3, 2026 — dates are DD/MM/YYYY). An MM/DD misparse gives Mar 2 = $44,972</t>
        </is>
      </c>
      <c r="F12" s="6" t="inlineStr">
        <is>
          <t>Misparses as March 2 or fails on text date</t>
        </is>
      </c>
      <c r="G12" s="6" t="n"/>
      <c r="H12" s="17" t="n"/>
      <c r="I12" s="6" t="n"/>
      <c r="J12" s="13" t="n"/>
      <c r="K12" s="6" t="n"/>
      <c r="L12" s="12" t="n"/>
    </row>
    <row r="13" ht="75" customHeight="1" s="9">
      <c r="A13" s="4" t="inlineStr">
        <is>
          <t>Q11</t>
        </is>
      </c>
      <c r="B13" s="5" t="n">
        <v>2</v>
      </c>
      <c r="C13" s="6" t="inlineStr">
        <is>
          <t>How much revenue has Lakeside generated since the acquisition?</t>
        </is>
      </c>
      <c r="D13" s="6" t="inlineStr">
        <is>
          <t>Period convention from Prep-for-AI</t>
        </is>
      </c>
      <c r="E13" s="6" t="inlineStr">
        <is>
          <t>$4.324M (Feb 1 - May 31, 2026; ~9% from Lakeside store-brand items)</t>
        </is>
      </c>
      <c r="F13" s="6" t="inlineStr">
        <is>
          <t>No acquisition date knowledge + text dates: wrong period or no answer</t>
        </is>
      </c>
      <c r="G13" s="6" t="n"/>
      <c r="H13" s="17" t="n"/>
      <c r="I13" s="6" t="n"/>
      <c r="J13" s="12" t="n"/>
      <c r="K13" s="6" t="n"/>
      <c r="L13" s="13" t="n"/>
    </row>
    <row r="14" ht="90" customHeight="1" s="9">
      <c r="A14" s="4" t="inlineStr">
        <is>
          <t>Q12</t>
        </is>
      </c>
      <c r="B14" s="5" t="n">
        <v>3</v>
      </c>
      <c r="C14" s="6" t="inlineStr">
        <is>
          <t>How much marketplace revenue can't be tied to one of our products?</t>
        </is>
      </c>
      <c r="D14" s="6" t="inlineStr">
        <is>
          <t>Data-quality awareness question</t>
        </is>
      </c>
      <c r="E14" s="6" t="inlineStr">
        <is>
          <t>$94K gross (1.1% of marketplace gross) from ~10 stale/unmapped listings</t>
        </is>
      </c>
      <c r="F14" s="6" t="inlineStr">
        <is>
          <t>No xref join: either 0% or everything unmapped</t>
        </is>
      </c>
      <c r="G14" s="6" t="n"/>
      <c r="H14" s="12" t="n"/>
      <c r="I14" s="6" t="n"/>
      <c r="J14" s="16" t="n"/>
      <c r="K14" s="6" t="n"/>
      <c r="L14" s="13" t="n"/>
    </row>
    <row r="16">
      <c r="A16" t="inlineStr">
        <is>
          <t>Scoring: 2 = correct, 1 = partially correct, 0 = wrong, -1 = hallucinated (confident + false)</t>
        </is>
      </c>
    </row>
    <row r="17">
      <c r="A17" t="inlineStr">
        <is>
          <t>Agents: Raw (bare) = SupplyAgent_Raw (MultiSource_Raw model — no instructions) | Raw_Plus = SupplyAgent_Raw_Plus (lh_supply_demo SQL endpoint + heavy agent instructions) | Modeled = SupplyAgent_Modeled (MultiSource_Modeled star + Prep-for-AI)</t>
        </is>
      </c>
    </row>
  </sheetData>
  <mergeCells count="11">
    <mergeCell ref="A16:F16"/>
    <mergeCell ref="G1:H1"/>
    <mergeCell ref="K1:L1"/>
    <mergeCell ref="C1:C2"/>
    <mergeCell ref="B1:B2"/>
    <mergeCell ref="A17:L17"/>
    <mergeCell ref="D1:D2"/>
    <mergeCell ref="E1:E2"/>
    <mergeCell ref="F1:F2"/>
    <mergeCell ref="I1:J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2.140625" bestFit="1" customWidth="1" style="9" min="1" max="1"/>
    <col width="52.85546875" bestFit="1" customWidth="1" style="9" min="2" max="2"/>
    <col width="10.5703125" bestFit="1" customWidth="1" style="9" min="3" max="3"/>
    <col width="4.85546875" bestFit="1" customWidth="1" style="9" min="4" max="4"/>
    <col width="9" customWidth="1" style="9" min="5" max="5"/>
    <col width="10.28515625" bestFit="1" customWidth="1" style="9" min="6" max="6"/>
    <col width="9.5703125" bestFit="1" customWidth="1" style="9" min="7" max="7"/>
    <col width="9.85546875" bestFit="1" customWidth="1" style="9" min="8" max="8"/>
    <col width="15.85546875" bestFit="1" customWidth="1" style="9" min="9" max="9"/>
    <col width="10" customWidth="1" style="9" min="10" max="10"/>
  </cols>
  <sheetData>
    <row r="1">
      <c r="A1" s="11" t="inlineStr">
        <is>
          <t>Agent</t>
        </is>
      </c>
      <c r="B1" s="11" t="inlineStr">
        <is>
          <t>Data source</t>
        </is>
      </c>
      <c r="C1" s="11" t="inlineStr">
        <is>
          <t>Total score</t>
        </is>
      </c>
      <c r="D1" s="11" t="inlineStr">
        <is>
          <t>Max</t>
        </is>
      </c>
      <c r="E1" s="11" t="inlineStr">
        <is>
          <t>% of max</t>
        </is>
      </c>
      <c r="F1" s="11" t="inlineStr">
        <is>
          <t>Correct (2)</t>
        </is>
      </c>
      <c r="G1" s="11" t="inlineStr">
        <is>
          <t>Partial (1)</t>
        </is>
      </c>
      <c r="H1" s="11" t="inlineStr">
        <is>
          <t>Wrong (0)</t>
        </is>
      </c>
      <c r="I1" s="11" t="inlineStr">
        <is>
          <t>Hallucinated (-1)</t>
        </is>
      </c>
      <c r="J1" s="11" t="inlineStr">
        <is>
          <t>Answered</t>
        </is>
      </c>
    </row>
    <row r="2">
      <c r="A2" s="7" t="inlineStr">
        <is>
          <t>SupplyAgent_Raw</t>
        </is>
      </c>
      <c r="B2" s="7" t="inlineStr">
        <is>
          <t>MultiSource_Raw model — no instructions</t>
        </is>
      </c>
      <c r="C2" s="7">
        <f>SUM(Eval!H3:H14)</f>
        <v/>
      </c>
      <c r="D2" s="7" t="n">
        <v>24</v>
      </c>
      <c r="E2" s="8">
        <f>IFERROR(C2/D2,0)</f>
        <v/>
      </c>
      <c r="F2" s="7">
        <f>COUNTIF(Eval!H3:H14,2)</f>
        <v/>
      </c>
      <c r="G2" s="7">
        <f>COUNTIF(Eval!H3:H14,1)</f>
        <v/>
      </c>
      <c r="H2" s="7">
        <f>COUNTIF(Eval!H3:H14,0)</f>
        <v/>
      </c>
      <c r="I2" s="7">
        <f>COUNTIF(Eval!H3:H14,-1)</f>
        <v/>
      </c>
      <c r="J2" s="7">
        <f>COUNT(Eval!H3:H14)</f>
        <v/>
      </c>
    </row>
    <row r="3">
      <c r="A3" s="7" t="inlineStr">
        <is>
          <t>SupplyAgent_Raw_Plus</t>
        </is>
      </c>
      <c r="B3" s="7" t="inlineStr">
        <is>
          <t>lh_supply_demo SQL endpoint + heavy agent instructions</t>
        </is>
      </c>
      <c r="C3" s="7">
        <f>SUM(Eval!J3:J14)</f>
        <v/>
      </c>
      <c r="D3" s="7" t="n">
        <v>24</v>
      </c>
      <c r="E3" s="8">
        <f>IFERROR(C3/D3,0)</f>
        <v/>
      </c>
      <c r="F3" s="7">
        <f>COUNTIF(Eval!J3:J14,2)</f>
        <v/>
      </c>
      <c r="G3" s="7">
        <f>COUNTIF(Eval!J3:J14,1)</f>
        <v/>
      </c>
      <c r="H3" s="7">
        <f>COUNTIF(Eval!J3:J14,0)</f>
        <v/>
      </c>
      <c r="I3" s="7">
        <f>COUNTIF(Eval!J3:J14,-1)</f>
        <v/>
      </c>
      <c r="J3" s="7">
        <f>COUNT(Eval!J3:J14)</f>
        <v/>
      </c>
    </row>
    <row r="4">
      <c r="A4" s="7" t="inlineStr">
        <is>
          <t>SupplyAgent_Modeled</t>
        </is>
      </c>
      <c r="B4" s="7" t="inlineStr">
        <is>
          <t>MultiSource_Modeled star + Prep-for-AI</t>
        </is>
      </c>
      <c r="C4" s="7">
        <f>SUM(Eval!L3:L14)</f>
        <v/>
      </c>
      <c r="D4" s="7" t="n">
        <v>24</v>
      </c>
      <c r="E4" s="8">
        <f>IFERROR(C4/D4,0)</f>
        <v/>
      </c>
      <c r="F4" s="7">
        <f>COUNTIF(Eval!L3:L14,2)</f>
        <v/>
      </c>
      <c r="G4" s="7">
        <f>COUNTIF(Eval!L3:L14,1)</f>
        <v/>
      </c>
      <c r="H4" s="7">
        <f>COUNTIF(Eval!L3:L14,0)</f>
        <v/>
      </c>
      <c r="I4" s="7">
        <f>COUNTIF(Eval!L3:L14,-1)</f>
        <v/>
      </c>
      <c r="J4" s="7">
        <f>COUNT(Eval!L3:L14)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1" sqref="A1"/>
    </sheetView>
  </sheetViews>
  <sheetFormatPr baseColWidth="8" defaultColWidth="8.7109375" defaultRowHeight="15"/>
  <cols>
    <col width="23.85546875" bestFit="1" customWidth="1" style="9" min="1" max="1"/>
    <col width="80.7109375" bestFit="1" customWidth="1" style="9" min="2" max="2"/>
  </cols>
  <sheetData>
    <row r="1" ht="15" customHeight="1" s="9">
      <c r="A1" s="1" t="inlineStr">
        <is>
          <t>Convention</t>
        </is>
      </c>
      <c r="B1" s="1" t="inlineStr">
        <is>
          <t>Value</t>
        </is>
      </c>
    </row>
    <row r="2" ht="15" customHeight="1" s="9">
      <c r="A2" s="2" t="inlineStr">
        <is>
          <t>Data window</t>
        </is>
      </c>
      <c r="B2" s="2" t="inlineStr">
        <is>
          <t>2025-06-01 to 2026-05-31</t>
        </is>
      </c>
    </row>
    <row r="3" ht="15" customHeight="1" s="9">
      <c r="A3" s="2" t="inlineStr">
        <is>
          <t>Acquisition date (Lakeside)</t>
        </is>
      </c>
      <c r="B3" s="2" t="inlineStr">
        <is>
          <t>2026-02-01</t>
        </is>
      </c>
    </row>
    <row r="4" ht="15" customHeight="1" s="9">
      <c r="A4" s="2" t="inlineStr">
        <is>
          <t>'Total / company sales'</t>
        </is>
      </c>
      <c r="B4" s="2" t="inlineStr">
        <is>
          <t>ERP + marketplace NET + Lakeside</t>
        </is>
      </c>
    </row>
    <row r="5" ht="15" customHeight="1" s="9">
      <c r="A5" s="2" t="inlineStr">
        <is>
          <t>Marketplace revenue</t>
        </is>
      </c>
      <c r="B5" s="2" t="inlineStr">
        <is>
          <t>NET of fees (payoutAmount) unless 'gross' is asked</t>
        </is>
      </c>
    </row>
    <row r="6" ht="15" customHeight="1" s="9">
      <c r="A6" s="2" t="inlineStr">
        <is>
          <t>Lakeside dates</t>
        </is>
      </c>
      <c r="B6" s="2" t="inlineStr">
        <is>
          <t>TEXT DD/MM/YYYY in raw exports</t>
        </is>
      </c>
    </row>
    <row r="7" ht="15" customHeight="1" s="9">
      <c r="A7" s="2" t="inlineStr">
        <is>
          <t>Stockout rate</t>
        </is>
      </c>
      <c r="B7" s="2" t="inlineStr">
        <is>
          <t>share of SKU-location-day snapshots with is_stockout = 1</t>
        </is>
      </c>
    </row>
    <row r="8" ht="15" customHeight="1" s="9">
      <c r="A8" s="2" t="inlineStr">
        <is>
          <t>Stockout risk</t>
        </is>
      </c>
      <c r="B8" s="2" t="inlineStr">
        <is>
          <t>on-hand &lt;= safety stock at latest snapshot (ERP) or near-zero latest weekly count (Lakeside)</t>
        </is>
      </c>
    </row>
    <row r="9" ht="15" customHeight="1" s="9">
      <c r="A9" s="2" t="inlineStr">
        <is>
          <t>Complaint</t>
        </is>
      </c>
      <c r="B9" s="2" t="inlineStr">
        <is>
          <t>helpdesk categoryId = 1 (Product complaint)</t>
        </is>
      </c>
    </row>
    <row r="10" ht="15" customHeight="1" s="9">
      <c r="A10" s="2" t="inlineStr">
        <is>
          <t>Tickets per 1K units</t>
        </is>
      </c>
      <c r="B10" s="2" t="inlineStr">
        <is>
          <t>resolved product refs only (88%); SKUs with &gt;= 1,000 units sold</t>
        </is>
      </c>
    </row>
    <row r="11" ht="15" customHeight="1" s="9">
      <c r="A11" s="2" t="inlineStr">
        <is>
          <t>Sell-through ratio</t>
        </is>
      </c>
      <c r="B11" s="2" t="inlineStr">
        <is>
          <t>units sold / average on-hand units over the period</t>
        </is>
      </c>
    </row>
    <row r="12" ht="15" customHeight="1" s="9">
      <c r="A12" s="2" t="inlineStr">
        <is>
          <t>Token/CU measurement</t>
        </is>
      </c>
      <c r="B12" s="2" t="inlineStr">
        <is>
          <t>Capacity Metrics app (capacity admin on fabricassesmentcoe) or Foundry/SDK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2026-06-11T14:10:31Z</dcterms:created>
  <dcterms:modified xsi:type="dcterms:W3CDTF">2026-06-15T17:00:18Z</dcterms:modified>
  <cp:lastModifiedBy>Viktor Krykun</cp:lastModifiedBy>
  <cp:revision>0</cp:revision>
</cp:coreProperties>
</file>