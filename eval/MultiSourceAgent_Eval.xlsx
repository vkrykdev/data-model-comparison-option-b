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al" sheetId="1" state="visible" r:id="rId1"/>
    <sheet name="Summary" sheetId="2" state="visible" r:id="rId2"/>
    <sheet name="Conven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8EAADB"/>
      </patternFill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1F4E7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4" pivotButton="0" quotePrefix="0" xfId="0"/>
    <xf numFmtId="0" fontId="1" fillId="3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4" borderId="0" pivotButton="0" quotePrefix="0" xfId="0"/>
    <xf numFmtId="0" fontId="1" fillId="5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6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5" customWidth="1" min="2" max="2"/>
    <col width="40" customWidth="1" min="3" max="3"/>
    <col width="32" customWidth="1" min="4" max="4"/>
    <col width="70" customWidth="1" min="5" max="5"/>
    <col width="34" customWidth="1" min="6" max="6"/>
    <col width="8" customWidth="1" min="7" max="7"/>
    <col width="34" customWidth="1" min="8" max="8"/>
    <col width="8" customWidth="1" min="9" max="9"/>
  </cols>
  <sheetData>
    <row r="1">
      <c r="A1" s="1" t="inlineStr">
        <is>
          <t>#</t>
        </is>
      </c>
      <c r="B1" s="1" t="inlineStr">
        <is>
          <t>Tier</t>
        </is>
      </c>
      <c r="C1" s="1" t="inlineStr">
        <is>
          <t>Question</t>
        </is>
      </c>
      <c r="D1" s="1" t="inlineStr">
        <is>
          <t>What it tests</t>
        </is>
      </c>
      <c r="E1" s="1" t="inlineStr">
        <is>
          <t>Gold answer</t>
        </is>
      </c>
      <c r="F1" s="1" t="inlineStr">
        <is>
          <t>Raw_Plus</t>
        </is>
      </c>
      <c r="G1" s="2" t="n"/>
      <c r="H1" s="1" t="inlineStr">
        <is>
          <t>Modeled</t>
        </is>
      </c>
      <c r="I1" s="2" t="n"/>
    </row>
    <row r="2">
      <c r="A2" s="3" t="n"/>
      <c r="B2" s="3" t="n"/>
      <c r="C2" s="3" t="n"/>
      <c r="D2" s="3" t="n"/>
      <c r="E2" s="3" t="n"/>
      <c r="F2" s="4" t="inlineStr">
        <is>
          <t>Comment</t>
        </is>
      </c>
      <c r="G2" s="4" t="inlineStr">
        <is>
          <t>Score</t>
        </is>
      </c>
      <c r="H2" s="4" t="inlineStr">
        <is>
          <t>Comment</t>
        </is>
      </c>
      <c r="I2" s="4" t="inlineStr">
        <is>
          <t>Score</t>
        </is>
      </c>
    </row>
    <row r="3">
      <c r="A3" s="5" t="inlineStr">
        <is>
          <t>Q1</t>
        </is>
      </c>
      <c r="B3" s="6" t="n">
        <v>1</v>
      </c>
      <c r="C3" s="7" t="inlineStr">
        <is>
          <t>What was our revenue in Q1 2026 by channel?</t>
        </is>
      </c>
      <c r="D3" s="7" t="inlineStr">
        <is>
          <t>Both answer; baseline for token comparison</t>
        </is>
      </c>
      <c r="E3" s="7" t="inlineStr">
        <is>
          <t>Online $7.030M / Retail $7.156M / Wholesale $6.911M; total $21.097M (ERP, Jan-Mar 2026)</t>
        </is>
      </c>
      <c r="F3" s="7" t="n"/>
      <c r="G3" s="6" t="n"/>
      <c r="H3" s="7" t="n"/>
      <c r="I3" s="6" t="n"/>
    </row>
    <row r="4">
      <c r="A4" s="5" t="inlineStr">
        <is>
          <t>Q2</t>
        </is>
      </c>
      <c r="B4" s="6" t="n">
        <v>1</v>
      </c>
      <c r="C4" s="7" t="inlineStr">
        <is>
          <t>What was our stockout rate in May 2026?</t>
        </is>
      </c>
      <c r="D4" s="7" t="inlineStr">
        <is>
          <t>Definition drift (share of SKUs vs share of rows)</t>
        </is>
      </c>
      <c r="E4" s="7" t="inlineStr">
        <is>
          <t>1.52% of SKU-location-day snapshots (ERP daily snapshots, May 2026)</t>
        </is>
      </c>
      <c r="F4" s="7" t="n"/>
      <c r="G4" s="6" t="n"/>
      <c r="H4" s="7" t="n"/>
      <c r="I4" s="6" t="n"/>
    </row>
    <row r="5">
      <c r="A5" s="5" t="inlineStr">
        <is>
          <t>Q3</t>
        </is>
      </c>
      <c r="B5" s="6" t="n">
        <v>2</v>
      </c>
      <c r="C5" s="7" t="inlineStr">
        <is>
          <t>What were total company sales in May 2026, including Lakeside and the marketplace?</t>
        </is>
      </c>
      <c r="D5" s="7" t="inlineStr">
        <is>
          <t>Cross-source conformance + gross/net rule</t>
        </is>
      </c>
      <c r="E5" s="7" t="inlineStr">
        <is>
          <t>$10.054M = ERP $8.382M + marketplace NET $0.622M + Lakeside $1.051M</t>
        </is>
      </c>
      <c r="F5" s="7" t="n"/>
      <c r="G5" s="6" t="n"/>
      <c r="H5" s="7" t="n"/>
      <c r="I5" s="6" t="n"/>
    </row>
    <row r="6">
      <c r="A6" s="5" t="inlineStr">
        <is>
          <t>Q4</t>
        </is>
      </c>
      <c r="B6" s="6" t="n">
        <v>2</v>
      </c>
      <c r="C6" s="7" t="inlineStr">
        <is>
          <t>Which products generate the most helpdesk tickets per 1,000 units sold?</t>
        </is>
      </c>
      <c r="D6" s="7" t="inlineStr">
        <is>
          <t>Free-text conformance + ratio convention</t>
        </is>
      </c>
      <c r="E6" s="7" t="inlineStr">
        <is>
          <t>SKU-0045 Titan Solenoid Valve 142.7/1K (2,041 tickets); SKU-0014 Titan Rocker Switch 115.9/1K (1,967); next SKU-0085 at 40.5. Convention: SKUs with &gt;=1,000 units; 88% of ticket refs resolve</t>
        </is>
      </c>
      <c r="F6" s="7" t="n"/>
      <c r="G6" s="6" t="n"/>
      <c r="H6" s="7" t="n"/>
      <c r="I6" s="6" t="n"/>
    </row>
    <row r="7">
      <c r="A7" s="5" t="inlineStr">
        <is>
          <t>Q5</t>
        </is>
      </c>
      <c r="B7" s="6" t="n">
        <v>2</v>
      </c>
      <c r="C7" s="7" t="inlineStr">
        <is>
          <t>What is the service parts attach rate for Hydraulics products?</t>
        </is>
      </c>
      <c r="D7" s="7" t="inlineStr">
        <is>
          <t>ITM code conformance</t>
        </is>
      </c>
      <c r="E7" s="7" t="inlineStr">
        <is>
          <t>8.1 parts per 100 units sold (16,156 parts / 199,192 Hydraulics units)</t>
        </is>
      </c>
      <c r="F7" s="7" t="n"/>
      <c r="G7" s="6" t="n"/>
      <c r="H7" s="7" t="n"/>
      <c r="I7" s="6" t="n"/>
    </row>
    <row r="8">
      <c r="A8" s="5" t="inlineStr">
        <is>
          <t>Q6</t>
        </is>
      </c>
      <c r="B8" s="6" t="n">
        <v>3</v>
      </c>
      <c r="C8" s="7" t="inlineStr">
        <is>
          <t>Which A-class products have open complaints AND are at stockout risk in the merged network?</t>
        </is>
      </c>
      <c r="D8" s="7" t="inlineStr">
        <is>
          <t>The flagship multi-hop question</t>
        </is>
      </c>
      <c r="E8" s="7" t="inlineStr">
        <is>
          <t>SKU-0014 Titan Rocker Switch 20A and SKU-0045 Titan Solenoid Valve 1in (open complaint tickets; on-hand &lt;= safety stock at 2026-05-31; near-zero Lakeside counts)</t>
        </is>
      </c>
      <c r="F8" s="7" t="n"/>
      <c r="G8" s="6" t="n"/>
      <c r="H8" s="7" t="n"/>
      <c r="I8" s="6" t="n"/>
    </row>
    <row r="9">
      <c r="A9" s="5" t="inlineStr">
        <is>
          <t>Q7</t>
        </is>
      </c>
      <c r="B9" s="6" t="n">
        <v>3</v>
      </c>
      <c r="C9" s="7" t="inlineStr">
        <is>
          <t>Compare Lakeside store sell-through vs our DCs since the acquisition.</t>
        </is>
      </c>
      <c r="D9" s="7" t="inlineStr">
        <is>
          <t>Mixed-grain inventory + acquisition date</t>
        </is>
      </c>
      <c r="E9" s="7" t="inlineStr">
        <is>
          <t>Feb-May 2026: Lakeside 2.85x vs DCs 1.70x. Lakeside turns ~1.7x faster</t>
        </is>
      </c>
      <c r="F9" s="7" t="n"/>
      <c r="G9" s="6" t="n"/>
      <c r="H9" s="7" t="n"/>
      <c r="I9" s="6" t="n"/>
    </row>
    <row r="10">
      <c r="A10" s="5" t="inlineStr">
        <is>
          <t>Q8</t>
        </is>
      </c>
      <c r="B10" s="6" t="n">
        <v>3</v>
      </c>
      <c r="C10" s="7" t="inlineStr">
        <is>
          <t>What were Lakeside sales on 03/02/2026?</t>
        </is>
      </c>
      <c r="D10" s="7" t="inlineStr">
        <is>
          <t>Date-format trap (DD/MM/YYYY)</t>
        </is>
      </c>
      <c r="E10" s="7" t="inlineStr">
        <is>
          <t>$36,836 (Feb 3, 2026 - dates are DD/MM/YYYY). An MM/DD misparse gives Mar 2 = $44,972</t>
        </is>
      </c>
      <c r="F10" s="7" t="n"/>
      <c r="G10" s="6" t="n"/>
      <c r="H10" s="7" t="n"/>
      <c r="I10" s="6" t="n"/>
    </row>
    <row r="11">
      <c r="A11" s="5" t="inlineStr">
        <is>
          <t>Q9</t>
        </is>
      </c>
      <c r="B11" s="6" t="n">
        <v>2</v>
      </c>
      <c r="C11" s="7" t="inlineStr">
        <is>
          <t>How much revenue has Lakeside generated since the acquisition?</t>
        </is>
      </c>
      <c r="D11" s="7" t="inlineStr">
        <is>
          <t>Period convention from Prep-for-AI</t>
        </is>
      </c>
      <c r="E11" s="7" t="inlineStr">
        <is>
          <t>$4.324M (Feb 1 - May 31, 2026; ~9% from Lakeside store-brand items)</t>
        </is>
      </c>
      <c r="F11" s="7" t="n"/>
      <c r="G11" s="6" t="n"/>
      <c r="H11" s="7" t="n"/>
      <c r="I11" s="6" t="n"/>
    </row>
    <row r="12">
      <c r="A12" s="5" t="inlineStr">
        <is>
          <t>Q10</t>
        </is>
      </c>
      <c r="B12" s="6" t="n">
        <v>3</v>
      </c>
      <c r="C12" s="7" t="inlineStr">
        <is>
          <t>How much of our total revenue can we actually tie to a known product?</t>
        </is>
      </c>
      <c r="D12" s="7" t="inlineStr">
        <is>
          <t>Governance / honest gap surfacing</t>
        </is>
      </c>
      <c r="E12" s="7" t="inlineStr">
        <is>
          <t>99.5% attributable; $0.553M (0.48% of $115.86M net) is unattributable - ALL of it stale MegaMart 'UNMAPPED' listings (7.5% of marketplace net). Modeled reports the gap; raw assumes 100%</t>
        </is>
      </c>
      <c r="F12" s="7" t="n"/>
      <c r="G12" s="6" t="n"/>
      <c r="H12" s="7" t="n"/>
      <c r="I12" s="6" t="n"/>
    </row>
    <row r="13">
      <c r="A13" s="5" t="inlineStr">
        <is>
          <t>Q11</t>
        </is>
      </c>
      <c r="B13" s="6" t="n">
        <v>3</v>
      </c>
      <c r="C13" s="7" t="inlineStr">
        <is>
          <t>Which product category has the worst after-sale reliability?</t>
        </is>
      </c>
      <c r="D13" s="7" t="inlineStr">
        <is>
          <t>Dual conformance (free-text + ITM) + category rollup + confidence note</t>
        </is>
      </c>
      <c r="E13" s="7" t="inlineStr">
        <is>
          <t>Hydraulics, 88.5 after-sale issues per 1K units (1,420 complaints + 16,156 service parts / 198,582 units); next Electrical 27.9. Confidence note: an 'Unknown' 2-product bucket scores 119.7/1K on only 3,811 units - exclude it</t>
        </is>
      </c>
      <c r="F13" s="7" t="n"/>
      <c r="G13" s="6" t="n"/>
      <c r="H13" s="7" t="n"/>
      <c r="I13" s="6" t="n"/>
    </row>
    <row r="14">
      <c r="A14" s="5" t="inlineStr">
        <is>
          <t>Q12</t>
        </is>
      </c>
      <c r="B14" s="6" t="n">
        <v>3</v>
      </c>
      <c r="C14" s="7" t="inlineStr">
        <is>
          <t>Which products are most overstocked relative to their category's sell-through?</t>
        </is>
      </c>
      <c r="D14" s="7" t="inlineStr">
        <is>
          <t>Nested measure vs computed category benchmark, on mixed-grain inventory</t>
        </is>
      </c>
      <c r="E14" s="7" t="inlineStr">
        <is>
          <t>Worst overstock vs ~6x category avg: SKU-0029 Atlas Drop-In Anchor M8 (0.47x) &amp; SKU-0039 Sterling Sleeve Anchor M12 (0.50x, Fasteners), SKU-0081 Atlas O-Ring Kit (0.50x, Hydraulics). No A-class sells below its category average (0/24); underperformers are B (25/31) and C (43/58) class</t>
        </is>
      </c>
      <c r="F14" s="7" t="n"/>
      <c r="G14" s="6" t="n"/>
      <c r="H14" s="7" t="n"/>
      <c r="I14" s="6" t="n"/>
    </row>
    <row r="16">
      <c r="A16" s="8" t="inlineStr">
        <is>
          <t>Scoring: 2 = correct, 1 = partially correct, 0 = wrong, -1 = hallucinated (confident + false)</t>
        </is>
      </c>
    </row>
    <row r="17">
      <c r="A17" s="8" t="inlineStr">
        <is>
          <t>Agents: Raw_Plus = SupplyAgent_Raw_Plus (lh_supply_demo SQL endpoint + heavy agent instructions) | Modeled = SupplyAgent_Modeled (MultiSource_Modeled star + Prep-for-AI)</t>
        </is>
      </c>
    </row>
  </sheetData>
  <mergeCells count="9">
    <mergeCell ref="H1:I1"/>
    <mergeCell ref="A17:I17"/>
    <mergeCell ref="C1:C2"/>
    <mergeCell ref="B1:B2"/>
    <mergeCell ref="D1:D2"/>
    <mergeCell ref="E1:E2"/>
    <mergeCell ref="F1:G1"/>
    <mergeCell ref="A16:I16"/>
    <mergeCell ref="A1: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1" customWidth="1" min="3" max="3"/>
    <col width="6" customWidth="1" min="4" max="4"/>
    <col width="9" customWidth="1" min="5" max="5"/>
    <col width="11" customWidth="1" min="6" max="6"/>
    <col width="10" customWidth="1" min="7" max="7"/>
    <col width="10" customWidth="1" min="8" max="8"/>
    <col width="16" customWidth="1" min="9" max="9"/>
    <col width="10" customWidth="1" min="10" max="10"/>
  </cols>
  <sheetData>
    <row r="1">
      <c r="A1" s="9" t="inlineStr">
        <is>
          <t>Agent</t>
        </is>
      </c>
      <c r="B1" s="9" t="inlineStr">
        <is>
          <t>Data source</t>
        </is>
      </c>
      <c r="C1" s="9" t="inlineStr">
        <is>
          <t>Total score</t>
        </is>
      </c>
      <c r="D1" s="9" t="inlineStr">
        <is>
          <t>Max</t>
        </is>
      </c>
      <c r="E1" s="9" t="inlineStr">
        <is>
          <t>% of max</t>
        </is>
      </c>
      <c r="F1" s="9" t="inlineStr">
        <is>
          <t>Correct (2)</t>
        </is>
      </c>
      <c r="G1" s="9" t="inlineStr">
        <is>
          <t>Partial (1)</t>
        </is>
      </c>
      <c r="H1" s="9" t="inlineStr">
        <is>
          <t>Wrong (0)</t>
        </is>
      </c>
      <c r="I1" s="9" t="inlineStr">
        <is>
          <t>Hallucinated (-1)</t>
        </is>
      </c>
      <c r="J1" s="9" t="inlineStr">
        <is>
          <t>Answered</t>
        </is>
      </c>
    </row>
    <row r="2">
      <c r="A2" s="10" t="inlineStr">
        <is>
          <t>SupplyAgent_Raw_Plus</t>
        </is>
      </c>
      <c r="B2" s="7" t="inlineStr">
        <is>
          <t>lh_supply_demo SQL endpoint + heavy agent instructions</t>
        </is>
      </c>
      <c r="C2" s="6">
        <f>SUM(Eval!G3:G14)</f>
        <v/>
      </c>
      <c r="D2" s="6" t="n">
        <v>24</v>
      </c>
      <c r="E2" s="11">
        <f>IF(D2=0,"",C2/D2)</f>
        <v/>
      </c>
      <c r="F2" s="6">
        <f>COUNTIF(Eval!G3:G14,2)</f>
        <v/>
      </c>
      <c r="G2" s="6">
        <f>COUNTIF(Eval!G3:G14,1)</f>
        <v/>
      </c>
      <c r="H2" s="6">
        <f>COUNTIF(Eval!G3:G14,0)</f>
        <v/>
      </c>
      <c r="I2" s="6">
        <f>COUNTIF(Eval!G3:G14,-1)</f>
        <v/>
      </c>
      <c r="J2" s="6">
        <f>COUNT(Eval!G3:G14)</f>
        <v/>
      </c>
    </row>
    <row r="3">
      <c r="A3" s="10" t="inlineStr">
        <is>
          <t>SupplyAgent_Modeled</t>
        </is>
      </c>
      <c r="B3" s="7" t="inlineStr">
        <is>
          <t>MultiSource_Modeled star + Prep-for-AI</t>
        </is>
      </c>
      <c r="C3" s="6">
        <f>SUM(Eval!I3:I14)</f>
        <v/>
      </c>
      <c r="D3" s="6" t="n">
        <v>24</v>
      </c>
      <c r="E3" s="11">
        <f>IF(D3=0,"",C3/D3)</f>
        <v/>
      </c>
      <c r="F3" s="6">
        <f>COUNTIF(Eval!I3:I14,2)</f>
        <v/>
      </c>
      <c r="G3" s="6">
        <f>COUNTIF(Eval!I3:I14,1)</f>
        <v/>
      </c>
      <c r="H3" s="6">
        <f>COUNTIF(Eval!I3:I14,0)</f>
        <v/>
      </c>
      <c r="I3" s="6">
        <f>COUNTIF(Eval!I3:I14,-1)</f>
        <v/>
      </c>
      <c r="J3" s="6">
        <f>COUNT(Eval!I3:I14)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2" t="inlineStr">
        <is>
          <t>Convention</t>
        </is>
      </c>
      <c r="B1" s="13" t="inlineStr">
        <is>
          <t>Value</t>
        </is>
      </c>
    </row>
    <row r="2">
      <c r="A2" s="14" t="inlineStr">
        <is>
          <t>Data window</t>
        </is>
      </c>
      <c r="B2" s="15" t="inlineStr">
        <is>
          <t>2025-06-01 to 2026-05-31</t>
        </is>
      </c>
    </row>
    <row r="3">
      <c r="A3" s="14" t="inlineStr">
        <is>
          <t>Acquisition date (Lakeside)</t>
        </is>
      </c>
      <c r="B3" s="15" t="inlineStr">
        <is>
          <t>2026-02-01</t>
        </is>
      </c>
    </row>
    <row r="4">
      <c r="A4" s="14" t="inlineStr">
        <is>
          <t>'Total / company sales'</t>
        </is>
      </c>
      <c r="B4" s="15" t="inlineStr">
        <is>
          <t>ERP + marketplace NET + Lakeside</t>
        </is>
      </c>
    </row>
    <row r="5">
      <c r="A5" s="14" t="inlineStr">
        <is>
          <t>Marketplace revenue</t>
        </is>
      </c>
      <c r="B5" s="15" t="inlineStr">
        <is>
          <t>NET of fees (payoutAmount) unless 'gross' is asked</t>
        </is>
      </c>
    </row>
    <row r="6">
      <c r="A6" s="14" t="inlineStr">
        <is>
          <t>Lakeside dates</t>
        </is>
      </c>
      <c r="B6" s="15" t="inlineStr">
        <is>
          <t>TEXT DD/MM/YYYY in raw exports</t>
        </is>
      </c>
    </row>
    <row r="7">
      <c r="A7" s="14" t="inlineStr">
        <is>
          <t>Stockout rate</t>
        </is>
      </c>
      <c r="B7" s="15" t="inlineStr">
        <is>
          <t>share of SKU-location-day snapshots with is_stockout = 1 (grain = daily)</t>
        </is>
      </c>
    </row>
    <row r="8">
      <c r="A8" s="14" t="inlineStr">
        <is>
          <t>Stockout risk</t>
        </is>
      </c>
      <c r="B8" s="15" t="inlineStr">
        <is>
          <t>on-hand &lt;= safety stock at latest snapshot (ERP) or near-zero latest weekly count (Lakeside)</t>
        </is>
      </c>
    </row>
    <row r="9">
      <c r="A9" s="14" t="inlineStr">
        <is>
          <t>Complaint</t>
        </is>
      </c>
      <c r="B9" s="15" t="inlineStr">
        <is>
          <t>helpdesk category = 'Product complaint' (is_complaint = TRUE)</t>
        </is>
      </c>
    </row>
    <row r="10">
      <c r="A10" s="14" t="inlineStr">
        <is>
          <t>Tickets per 1K units</t>
        </is>
      </c>
      <c r="B10" s="15" t="inlineStr">
        <is>
          <t>resolved product refs only (88%); SKUs with &gt;= 1,000 units sold</t>
        </is>
      </c>
    </row>
    <row r="11">
      <c r="A11" s="14" t="inlineStr">
        <is>
          <t>Service parts attach rate</t>
        </is>
      </c>
      <c r="B11" s="15" t="inlineStr">
        <is>
          <t>service parts used / units sold x 100 (per 100 units); ITM-code conformance</t>
        </is>
      </c>
    </row>
    <row r="12">
      <c r="A12" s="14" t="inlineStr">
        <is>
          <t>Marketplace fee rate</t>
        </is>
      </c>
      <c r="B12" s="15" t="inlineStr">
        <is>
          <t>14% of gross; net (payoutAmount) = gross - fees</t>
        </is>
      </c>
    </row>
    <row r="13">
      <c r="A13" s="14" t="inlineStr">
        <is>
          <t>Product ABC class</t>
        </is>
      </c>
      <c r="B13" s="15" t="inlineStr">
        <is>
          <t>ERP product-master attribute (A/B/C by sales importance); Lakeside-only and special SKUs default to C</t>
        </is>
      </c>
    </row>
    <row r="14">
      <c r="A14" s="14" t="inlineStr">
        <is>
          <t>Sell-through ratio</t>
        </is>
      </c>
      <c r="B14" s="15" t="inlineStr">
        <is>
          <t>units sold / average on-hand units over the period</t>
        </is>
      </c>
    </row>
    <row r="15">
      <c r="A15" s="14" t="inlineStr">
        <is>
          <t>Attributable revenue</t>
        </is>
      </c>
      <c r="B15" s="15" t="inlineStr">
        <is>
          <t>net revenue whose sku is a real product (not 'UNMAPPED' / 'UNRESOLVED'); ~99.5% attributable, gap = stale MegaMart UNMAPPED listings</t>
        </is>
      </c>
    </row>
    <row r="16">
      <c r="A16" s="14" t="inlineStr">
        <is>
          <t>After-sale issues per 1K</t>
        </is>
      </c>
      <c r="B16" s="15" t="inlineStr">
        <is>
          <t>(product complaints + service parts used) / units sold x 1000, by category</t>
        </is>
      </c>
    </row>
    <row r="17">
      <c r="A17" s="14" t="inlineStr">
        <is>
          <t>Category avg sell-through</t>
        </is>
      </c>
      <c r="B17" s="15" t="inlineStr">
        <is>
          <t>mean of per-product sell-through within a category; overstock = product &lt; category avg</t>
        </is>
      </c>
    </row>
    <row r="18">
      <c r="A18" s="14" t="inlineStr">
        <is>
          <t>Token/CU measurement</t>
        </is>
      </c>
      <c r="B18" s="15" t="inlineStr">
        <is>
          <t>Capacity Metrics app (capacity admin on fabricassesmentcoe) or Foundry/SDK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2026-06-17T21:11:10Z</dcterms:created>
  <dcterms:modified xsi:type="dcterms:W3CDTF">2026-06-17T21:11:10Z</dcterms:modified>
</cp:coreProperties>
</file>