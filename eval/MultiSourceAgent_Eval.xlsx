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Eval" sheetId="1" state="visible" r:id="rId1"/>
    <sheet name="Summary" sheetId="2" state="visible" r:id="rId2"/>
    <sheet name="Conventions" sheetId="3" state="visible" r:id="rId3"/>
  </sheets>
  <definedNames>
    <definedName name="_xlnm._FilterDatabase" localSheetId="0" hidden="1">'Eval'!$A$2:$P$14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sz val="10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FCE4EC"/>
      </patternFill>
    </fill>
    <fill>
      <patternFill patternType="solid">
        <fgColor rgb="FFFCE4EC"/>
        <bgColor rgb="FFFFF2CC"/>
      </patternFill>
    </fill>
    <fill>
      <patternFill patternType="solid">
        <fgColor rgb="002E5496"/>
      </patternFill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bottom"/>
    </xf>
    <xf numFmtId="0" fontId="5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0" fillId="0" borderId="0" pivotButton="0" quotePrefix="0" xfId="0"/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0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vertical="top" wrapText="1"/>
    </xf>
    <xf numFmtId="0" fontId="0" fillId="0" borderId="2" pivotButton="0" quotePrefix="0" xfId="0"/>
    <xf numFmtId="164" fontId="0" fillId="0" borderId="2" pivotButton="0" quotePrefix="0" xfId="0"/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style="14" min="1" max="1"/>
    <col width="5" customWidth="1" style="14" min="2" max="2"/>
    <col width="34" customWidth="1" style="14" min="3" max="3"/>
    <col width="30" customWidth="1" style="14" min="4" max="4"/>
    <col width="40" customWidth="1" style="14" min="5" max="5"/>
    <col width="34" customWidth="1" style="14" min="6" max="6"/>
    <col width="30" customWidth="1" style="14" min="7" max="7"/>
    <col width="7" customWidth="1" style="14" min="8" max="8"/>
    <col width="11" customWidth="1" style="14" min="9" max="9"/>
    <col width="30" customWidth="1" style="14" min="10" max="10"/>
    <col width="7" customWidth="1" style="14" min="11" max="11"/>
    <col width="11" customWidth="1" style="14" min="12" max="12"/>
    <col width="30" customWidth="1" style="14" min="13" max="13"/>
    <col width="7" customWidth="1" style="14" min="14" max="14"/>
    <col width="11" customWidth="1" style="14" min="15" max="15"/>
    <col width="26" customWidth="1" style="14" min="16" max="16"/>
  </cols>
  <sheetData>
    <row r="1">
      <c r="A1" s="15" t="inlineStr">
        <is>
          <t>#</t>
        </is>
      </c>
      <c r="B1" s="15" t="inlineStr">
        <is>
          <t>Tier</t>
        </is>
      </c>
      <c r="C1" s="15" t="inlineStr">
        <is>
          <t>Question</t>
        </is>
      </c>
      <c r="D1" s="15" t="inlineStr">
        <is>
          <t>What it tests</t>
        </is>
      </c>
      <c r="E1" s="15" t="inlineStr">
        <is>
          <t>Gold answer</t>
        </is>
      </c>
      <c r="F1" s="15" t="inlineStr">
        <is>
          <t>Expected Raw (bare) failure</t>
        </is>
      </c>
      <c r="G1" s="15" t="inlineStr">
        <is>
          <t>Raw (bare)</t>
        </is>
      </c>
      <c r="H1" s="15" t="n"/>
      <c r="I1" s="15" t="n"/>
      <c r="J1" s="15" t="inlineStr">
        <is>
          <t>Raw_Plus</t>
        </is>
      </c>
      <c r="K1" s="15" t="n"/>
      <c r="L1" s="15" t="n"/>
      <c r="M1" s="15" t="inlineStr">
        <is>
          <t>Modeled</t>
        </is>
      </c>
      <c r="N1" s="15" t="n"/>
      <c r="O1" s="15" t="n"/>
      <c r="P1" s="15" t="inlineStr">
        <is>
          <t>Notes</t>
        </is>
      </c>
    </row>
    <row r="2">
      <c r="A2" s="16" t="n"/>
      <c r="B2" s="16" t="n"/>
      <c r="C2" s="16" t="n"/>
      <c r="D2" s="16" t="n"/>
      <c r="E2" s="16" t="n"/>
      <c r="F2" s="16" t="n"/>
      <c r="G2" s="16" t="inlineStr">
        <is>
          <t>Answer</t>
        </is>
      </c>
      <c r="H2" s="16" t="inlineStr">
        <is>
          <t>Score</t>
        </is>
      </c>
      <c r="I2" s="16" t="inlineStr">
        <is>
          <t>Tokens/CUs</t>
        </is>
      </c>
      <c r="J2" s="16" t="inlineStr">
        <is>
          <t>Answer</t>
        </is>
      </c>
      <c r="K2" s="16" t="inlineStr">
        <is>
          <t>Score</t>
        </is>
      </c>
      <c r="L2" s="16" t="inlineStr">
        <is>
          <t>Tokens/CUs</t>
        </is>
      </c>
      <c r="M2" s="16" t="inlineStr">
        <is>
          <t>Answer</t>
        </is>
      </c>
      <c r="N2" s="16" t="inlineStr">
        <is>
          <t>Score</t>
        </is>
      </c>
      <c r="O2" s="16" t="inlineStr">
        <is>
          <t>Tokens/CUs</t>
        </is>
      </c>
      <c r="P2" s="16" t="n"/>
    </row>
    <row r="3">
      <c r="A3" s="17" t="inlineStr">
        <is>
          <t>Q1</t>
        </is>
      </c>
      <c r="B3" s="18" t="n">
        <v>1</v>
      </c>
      <c r="C3" s="19" t="inlineStr">
        <is>
          <t>What was our revenue in Q1 2026 by channel?</t>
        </is>
      </c>
      <c r="D3" s="19" t="inlineStr">
        <is>
          <t>Both answer; baseline for token comparison</t>
        </is>
      </c>
      <c r="E3" s="19" t="inlineStr">
        <is>
          <t>Online $7.030M / Retail $7.156M / Wholesale $6.911M; total $21.097M (ERP, Jan-Mar 2026)</t>
        </is>
      </c>
      <c r="F3" s="19" t="inlineStr">
        <is>
          <t>Should pass — single clean table</t>
        </is>
      </c>
      <c r="G3" s="17" t="n"/>
      <c r="H3" s="18" t="n"/>
      <c r="I3" s="17" t="n"/>
      <c r="J3" s="17" t="n"/>
      <c r="K3" s="18" t="n"/>
      <c r="L3" s="17" t="n"/>
      <c r="M3" s="17" t="n"/>
      <c r="N3" s="18" t="n"/>
      <c r="O3" s="17" t="n"/>
      <c r="P3" s="17" t="n"/>
    </row>
    <row r="4">
      <c r="A4" s="17" t="inlineStr">
        <is>
          <t>Q2</t>
        </is>
      </c>
      <c r="B4" s="18" t="n">
        <v>1</v>
      </c>
      <c r="C4" s="19" t="inlineStr">
        <is>
          <t>What are our top 5 products by revenue?</t>
        </is>
      </c>
      <c r="D4" s="19" t="inlineStr">
        <is>
          <t>May differ if it tries to include unjoinable sources</t>
        </is>
      </c>
      <c r="E4" s="19" t="inlineStr">
        <is>
          <t>SKU-0074 Terminal Block $6.68M; SKU-0094 Hydraulic Hose $4.86M; SKU-0014 Rocker Switch $4.77M; SKU-0079 IEC Connector $4.42M; SKU-0080 Stretch Wrap $4.33M (ERP, full window)</t>
        </is>
      </c>
      <c r="F4" s="19" t="inlineStr">
        <is>
          <t>Should pass</t>
        </is>
      </c>
      <c r="G4" s="17" t="n"/>
      <c r="H4" s="18" t="n"/>
      <c r="I4" s="17" t="n"/>
      <c r="J4" s="17" t="n"/>
      <c r="K4" s="18" t="n"/>
      <c r="L4" s="17" t="n"/>
      <c r="M4" s="17" t="n"/>
      <c r="N4" s="18" t="n"/>
      <c r="O4" s="17" t="n"/>
      <c r="P4" s="17" t="n"/>
    </row>
    <row r="5">
      <c r="A5" s="17" t="inlineStr">
        <is>
          <t>Q3</t>
        </is>
      </c>
      <c r="B5" s="18" t="n">
        <v>1</v>
      </c>
      <c r="C5" s="19" t="inlineStr">
        <is>
          <t>What was our stockout rate in May 2026?</t>
        </is>
      </c>
      <c r="D5" s="19" t="inlineStr">
        <is>
          <t>Definition drift possible (share of SKUs vs share of rows)</t>
        </is>
      </c>
      <c r="E5" s="19" t="inlineStr">
        <is>
          <t>1.52% of SKU-location-days (ERP daily snapshots, May 2026)</t>
        </is>
      </c>
      <c r="F5" s="19" t="inlineStr">
        <is>
          <t>Should pass — is_stockout flag exists raw</t>
        </is>
      </c>
      <c r="G5" s="17" t="n"/>
      <c r="H5" s="18" t="n"/>
      <c r="I5" s="17" t="n"/>
      <c r="J5" s="17" t="n"/>
      <c r="K5" s="18" t="n"/>
      <c r="L5" s="17" t="n"/>
      <c r="M5" s="17" t="n"/>
      <c r="N5" s="18" t="n"/>
      <c r="O5" s="17" t="n"/>
      <c r="P5" s="17" t="n"/>
    </row>
    <row r="6">
      <c r="A6" s="17" t="inlineStr">
        <is>
          <t>Q4</t>
        </is>
      </c>
      <c r="B6" s="18" t="n">
        <v>2</v>
      </c>
      <c r="C6" s="19" t="inlineStr">
        <is>
          <t>What were total company sales in May 2026, including Lakeside and the marketplace?</t>
        </is>
      </c>
      <c r="D6" s="19" t="inlineStr">
        <is>
          <t>Tests cross-source conformance + gross/net rule</t>
        </is>
      </c>
      <c r="E6" s="19" t="inlineStr">
        <is>
          <t>$10.054M = ERP $8.382M + marketplace NET $0.622M + Lakeside $1.051M</t>
        </is>
      </c>
      <c r="F6" s="19" t="inlineStr">
        <is>
          <t>ERP-only $8.382M, or $9.106M using marketplace GROSS; Lakeside missed (text DD/MM/YYYY dates, no join)</t>
        </is>
      </c>
      <c r="G6" s="17" t="n"/>
      <c r="H6" s="18" t="n"/>
      <c r="I6" s="17" t="n"/>
      <c r="J6" s="17" t="n"/>
      <c r="K6" s="18" t="n"/>
      <c r="L6" s="17" t="n"/>
      <c r="M6" s="17" t="n"/>
      <c r="N6" s="18" t="n"/>
      <c r="O6" s="17" t="n"/>
      <c r="P6" s="17" t="n"/>
    </row>
    <row r="7">
      <c r="A7" s="17" t="inlineStr">
        <is>
          <t>Q5</t>
        </is>
      </c>
      <c r="B7" s="18" t="n">
        <v>2</v>
      </c>
      <c r="C7" s="19" t="inlineStr">
        <is>
          <t>What is our net marketplace revenue after fees, by month?</t>
        </is>
      </c>
      <c r="D7" s="19" t="inlineStr">
        <is>
          <t>Gross-vs-net trap</t>
        </is>
      </c>
      <c r="E7" s="19" t="inlineStr">
        <is>
          <t>Full window $7.335M net (gross $8.534M, fees 14.0%). E.g. Mar-26 $638K, Apr-26 $594K, May-26 $622K</t>
        </is>
      </c>
      <c r="F7" s="19" t="inlineStr">
        <is>
          <t>Reports gross from mm_orders (no settlement join): ~16% overstated</t>
        </is>
      </c>
      <c r="G7" s="17" t="n"/>
      <c r="H7" s="18" t="n"/>
      <c r="I7" s="17" t="n"/>
      <c r="J7" s="17" t="n"/>
      <c r="K7" s="18" t="n"/>
      <c r="L7" s="17" t="n"/>
      <c r="M7" s="17" t="n"/>
      <c r="N7" s="18" t="n"/>
      <c r="O7" s="17" t="n"/>
      <c r="P7" s="17" t="n"/>
    </row>
    <row r="8">
      <c r="A8" s="17" t="inlineStr">
        <is>
          <t>Q6</t>
        </is>
      </c>
      <c r="B8" s="18" t="n">
        <v>2</v>
      </c>
      <c r="C8" s="19" t="inlineStr">
        <is>
          <t>Which products generate the most helpdesk tickets per 1,000 units sold?</t>
        </is>
      </c>
      <c r="D8" s="19" t="inlineStr">
        <is>
          <t>Free-text conformance + ratio convention</t>
        </is>
      </c>
      <c r="E8" s="19" t="inlineStr">
        <is>
          <t>SKU-0045 Titan Solenoid Valve 142.7/1K (2,041 tickets); SKU-0014 Titan Rocker Switch 115.9/1K (1,967); next SKU-0085 at 40.5. Convention: SKUs with &gt;=1,000 units; 88% of ticket refs resolve</t>
        </is>
      </c>
      <c r="F8" s="19" t="inlineStr">
        <is>
          <t>Cannot join free-text productRef to units; hallucinated join or refusal</t>
        </is>
      </c>
      <c r="G8" s="17" t="n"/>
      <c r="H8" s="18" t="n"/>
      <c r="I8" s="17" t="n"/>
      <c r="J8" s="17" t="n"/>
      <c r="K8" s="18" t="n"/>
      <c r="L8" s="17" t="n"/>
      <c r="M8" s="17" t="n"/>
      <c r="N8" s="18" t="n"/>
      <c r="O8" s="17" t="n"/>
      <c r="P8" s="17" t="n"/>
    </row>
    <row r="9">
      <c r="A9" s="17" t="inlineStr">
        <is>
          <t>Q7</t>
        </is>
      </c>
      <c r="B9" s="18" t="n">
        <v>2</v>
      </c>
      <c r="C9" s="19" t="inlineStr">
        <is>
          <t>What is the service parts attach rate for Hydraulics products?</t>
        </is>
      </c>
      <c r="D9" s="19" t="inlineStr">
        <is>
          <t>ITM code conformance</t>
        </is>
      </c>
      <c r="E9" s="19" t="inlineStr">
        <is>
          <t>8.1 parts per 100 units sold (16,156 parts / 199,192 Hydraulics units)</t>
        </is>
      </c>
      <c r="F9" s="19" t="inlineStr">
        <is>
          <t>Cannot resolve ITM- codes to SKUs; wrong denominator or hallucination</t>
        </is>
      </c>
      <c r="G9" s="17" t="n"/>
      <c r="H9" s="18" t="n"/>
      <c r="I9" s="17" t="n"/>
      <c r="J9" s="17" t="n"/>
      <c r="K9" s="18" t="n"/>
      <c r="L9" s="17" t="n"/>
      <c r="M9" s="17" t="n"/>
      <c r="N9" s="18" t="n"/>
      <c r="O9" s="17" t="n"/>
      <c r="P9" s="17" t="n"/>
    </row>
    <row r="10">
      <c r="A10" s="17" t="inlineStr">
        <is>
          <t>Q8</t>
        </is>
      </c>
      <c r="B10" s="18" t="n">
        <v>3</v>
      </c>
      <c r="C10" s="19" t="inlineStr">
        <is>
          <t>Which A-class products have open complaints AND are at stockout risk in the merged network?</t>
        </is>
      </c>
      <c r="D10" s="19" t="inlineStr">
        <is>
          <t>The flagship multi-hop question</t>
        </is>
      </c>
      <c r="E10" s="19" t="inlineStr">
        <is>
          <t>SKU-0014 Titan Rocker Switch 20A and SKU-0045 Titan Solenoid Valve 1in (open complaint tickets; on-hand &lt;= safety stock at 2026-05-31; near-zero Lakeside counts)</t>
        </is>
      </c>
      <c r="F10" s="19" t="inlineStr">
        <is>
          <t>Multi-hop across 4 sources fails; likely hallucinated list</t>
        </is>
      </c>
      <c r="G10" s="17" t="n"/>
      <c r="H10" s="18" t="n"/>
      <c r="I10" s="17" t="n"/>
      <c r="J10" s="17" t="n"/>
      <c r="K10" s="18" t="n"/>
      <c r="L10" s="17" t="n"/>
      <c r="M10" s="17" t="n"/>
      <c r="N10" s="18" t="n"/>
      <c r="O10" s="17" t="n"/>
      <c r="P10" s="17" t="n"/>
    </row>
    <row r="11">
      <c r="A11" s="17" t="inlineStr">
        <is>
          <t>Q9</t>
        </is>
      </c>
      <c r="B11" s="18" t="n">
        <v>3</v>
      </c>
      <c r="C11" s="19" t="inlineStr">
        <is>
          <t>Compare Lakeside store sell-through vs our DCs since the acquisition.</t>
        </is>
      </c>
      <c r="D11" s="19" t="inlineStr">
        <is>
          <t>Mixed-grain inventory + acquisition date</t>
        </is>
      </c>
      <c r="E11" s="19" t="inlineStr">
        <is>
          <t>Feb-May 2026: Lakeside 2.85x (46,145 units / 16,187 avg on-hand) vs DCs 1.70x (234,391 / 138,261). Lakeside turns ~1.7x faster</t>
        </is>
      </c>
      <c r="F11" s="19" t="inlineStr">
        <is>
          <t>Cannot parse Lakeside text dates or weekly counts; no answer or invented numbers</t>
        </is>
      </c>
      <c r="G11" s="17" t="n"/>
      <c r="H11" s="18" t="n"/>
      <c r="I11" s="17" t="n"/>
      <c r="J11" s="17" t="n"/>
      <c r="K11" s="18" t="n"/>
      <c r="L11" s="17" t="n"/>
      <c r="M11" s="17" t="n"/>
      <c r="N11" s="18" t="n"/>
      <c r="O11" s="17" t="n"/>
      <c r="P11" s="17" t="n"/>
    </row>
    <row r="12">
      <c r="A12" s="17" t="inlineStr">
        <is>
          <t>Q10</t>
        </is>
      </c>
      <c r="B12" s="18" t="n">
        <v>3</v>
      </c>
      <c r="C12" s="19" t="inlineStr">
        <is>
          <t>What were Lakeside sales on 03/02/2026?</t>
        </is>
      </c>
      <c r="D12" s="19" t="inlineStr">
        <is>
          <t>Date-format trap</t>
        </is>
      </c>
      <c r="E12" s="19" t="inlineStr">
        <is>
          <t>$36,836 (Feb 3, 2026 — dates are DD/MM/YYYY). An MM/DD misparse gives Mar 2 = $44,972</t>
        </is>
      </c>
      <c r="F12" s="19" t="inlineStr">
        <is>
          <t>Misparses as March 2 or fails on text date</t>
        </is>
      </c>
      <c r="G12" s="17" t="n"/>
      <c r="H12" s="18" t="n"/>
      <c r="I12" s="17" t="n"/>
      <c r="J12" s="17" t="n"/>
      <c r="K12" s="18" t="n"/>
      <c r="L12" s="17" t="n"/>
      <c r="M12" s="17" t="n"/>
      <c r="N12" s="18" t="n"/>
      <c r="O12" s="17" t="n"/>
      <c r="P12" s="17" t="n"/>
    </row>
    <row r="13">
      <c r="A13" s="17" t="inlineStr">
        <is>
          <t>Q11</t>
        </is>
      </c>
      <c r="B13" s="18" t="n">
        <v>2</v>
      </c>
      <c r="C13" s="19" t="inlineStr">
        <is>
          <t>How much revenue has Lakeside generated since the acquisition?</t>
        </is>
      </c>
      <c r="D13" s="19" t="inlineStr">
        <is>
          <t>Period convention from Prep-for-AI</t>
        </is>
      </c>
      <c r="E13" s="19" t="inlineStr">
        <is>
          <t>$4.324M (Feb 1 - May 31, 2026; ~9% from Lakeside store-brand items)</t>
        </is>
      </c>
      <c r="F13" s="19" t="inlineStr">
        <is>
          <t>No acquisition date knowledge + text dates: wrong period or no answer</t>
        </is>
      </c>
      <c r="G13" s="17" t="n"/>
      <c r="H13" s="18" t="n"/>
      <c r="I13" s="17" t="n"/>
      <c r="J13" s="17" t="n"/>
      <c r="K13" s="18" t="n"/>
      <c r="L13" s="17" t="n"/>
      <c r="M13" s="17" t="n"/>
      <c r="N13" s="18" t="n"/>
      <c r="O13" s="17" t="n"/>
      <c r="P13" s="17" t="n"/>
    </row>
    <row r="14">
      <c r="A14" s="17" t="inlineStr">
        <is>
          <t>Q12</t>
        </is>
      </c>
      <c r="B14" s="18" t="n">
        <v>3</v>
      </c>
      <c r="C14" s="19" t="inlineStr">
        <is>
          <t>How much marketplace revenue can't be tied to one of our products?</t>
        </is>
      </c>
      <c r="D14" s="19" t="inlineStr">
        <is>
          <t>Data-quality awareness question</t>
        </is>
      </c>
      <c r="E14" s="19" t="inlineStr">
        <is>
          <t>$94K gross (1.1% of marketplace gross) from ~10 stale/unmapped listings</t>
        </is>
      </c>
      <c r="F14" s="19" t="inlineStr">
        <is>
          <t>No xref join: either 0% or everything unmapped</t>
        </is>
      </c>
      <c r="G14" s="17" t="n"/>
      <c r="H14" s="18" t="n"/>
      <c r="I14" s="17" t="n"/>
      <c r="J14" s="17" t="n"/>
      <c r="K14" s="18" t="n"/>
      <c r="L14" s="17" t="n"/>
      <c r="M14" s="17" t="n"/>
      <c r="N14" s="18" t="n"/>
      <c r="O14" s="17" t="n"/>
      <c r="P14" s="17" t="n"/>
    </row>
    <row r="16">
      <c r="A16" t="inlineStr">
        <is>
          <t>Scoring: 2 = correct, 1 = partially correct, 0 = wrong, -1 = hallucinated (confident + false)</t>
        </is>
      </c>
    </row>
    <row r="17">
      <c r="A17" t="inlineStr">
        <is>
          <t>Agents: Raw (bare) = SupplyAgent_Raw (MultiSource_Raw model — no instructions) | Raw_Plus = SupplyAgent_Raw_Plus (lh_supply_demo SQL endpoint + heavy agent instructions) | Modeled = SupplyAgent_Modeled (MultiSource_Modeled star + Prep-for-AI)</t>
        </is>
      </c>
    </row>
  </sheetData>
  <autoFilter ref="A2:P14"/>
  <mergeCells count="12">
    <mergeCell ref="A16:F16"/>
    <mergeCell ref="J1:L1"/>
    <mergeCell ref="A17:P17"/>
    <mergeCell ref="M1:O1"/>
    <mergeCell ref="C1:C2"/>
    <mergeCell ref="B1:B2"/>
    <mergeCell ref="D1:D2"/>
    <mergeCell ref="E1:E2"/>
    <mergeCell ref="F1:F2"/>
    <mergeCell ref="P1:P2"/>
    <mergeCell ref="G1:I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14" min="1" max="1"/>
    <col width="42" customWidth="1" style="14" min="2" max="2"/>
    <col width="11" customWidth="1" style="14" min="3" max="3"/>
    <col width="6" customWidth="1" style="14" min="4" max="4"/>
    <col width="9" customWidth="1" style="14" min="5" max="5"/>
    <col width="11" customWidth="1" style="14" min="6" max="6"/>
    <col width="11" customWidth="1" style="14" min="7" max="7"/>
    <col width="10" customWidth="1" style="14" min="8" max="8"/>
    <col width="15" customWidth="1" style="14" min="9" max="9"/>
    <col width="10" customWidth="1" style="14" min="10" max="10"/>
    <col width="13" customWidth="1" style="14" min="11" max="11"/>
  </cols>
  <sheetData>
    <row r="1">
      <c r="A1" s="16" t="inlineStr">
        <is>
          <t>Agent</t>
        </is>
      </c>
      <c r="B1" s="16" t="inlineStr">
        <is>
          <t>Data source</t>
        </is>
      </c>
      <c r="C1" s="16" t="inlineStr">
        <is>
          <t>Total score</t>
        </is>
      </c>
      <c r="D1" s="16" t="inlineStr">
        <is>
          <t>Max</t>
        </is>
      </c>
      <c r="E1" s="16" t="inlineStr">
        <is>
          <t>% of max</t>
        </is>
      </c>
      <c r="F1" s="16" t="inlineStr">
        <is>
          <t>Correct (2)</t>
        </is>
      </c>
      <c r="G1" s="16" t="inlineStr">
        <is>
          <t>Partial (1)</t>
        </is>
      </c>
      <c r="H1" s="16" t="inlineStr">
        <is>
          <t>Wrong (0)</t>
        </is>
      </c>
      <c r="I1" s="16" t="inlineStr">
        <is>
          <t>Hallucinated (-1)</t>
        </is>
      </c>
      <c r="J1" s="16" t="inlineStr">
        <is>
          <t>Answered</t>
        </is>
      </c>
      <c r="K1" s="16" t="inlineStr">
        <is>
          <t>Avg tokens/CUs</t>
        </is>
      </c>
    </row>
    <row r="2">
      <c r="A2" s="20" t="inlineStr">
        <is>
          <t>SupplyAgent_Raw</t>
        </is>
      </c>
      <c r="B2" s="20" t="inlineStr">
        <is>
          <t>MultiSource_Raw model — no instructions</t>
        </is>
      </c>
      <c r="C2" s="20">
        <f>SUM(Eval!H3:H14)</f>
        <v/>
      </c>
      <c r="D2" s="20" t="n">
        <v>24</v>
      </c>
      <c r="E2" s="21">
        <f>IFERROR(C2/D2,0)</f>
        <v/>
      </c>
      <c r="F2" s="20">
        <f>COUNTIF(Eval!H3:H14,2)</f>
        <v/>
      </c>
      <c r="G2" s="20">
        <f>COUNTIF(Eval!H3:H14,1)</f>
        <v/>
      </c>
      <c r="H2" s="20">
        <f>COUNTIF(Eval!H3:H14,0)</f>
        <v/>
      </c>
      <c r="I2" s="20">
        <f>COUNTIF(Eval!H3:H14,-1)</f>
        <v/>
      </c>
      <c r="J2" s="20">
        <f>COUNT(Eval!H3:H14)</f>
        <v/>
      </c>
      <c r="K2" s="20">
        <f>IFERROR(AVERAGE(Eval!I3:I14),0)</f>
        <v/>
      </c>
    </row>
    <row r="3">
      <c r="A3" s="20" t="inlineStr">
        <is>
          <t>SupplyAgent_Raw_Plus</t>
        </is>
      </c>
      <c r="B3" s="20" t="inlineStr">
        <is>
          <t>lh_supply_demo SQL endpoint + heavy agent instructions</t>
        </is>
      </c>
      <c r="C3" s="20">
        <f>SUM(Eval!K3:K14)</f>
        <v/>
      </c>
      <c r="D3" s="20" t="n">
        <v>24</v>
      </c>
      <c r="E3" s="21">
        <f>IFERROR(C3/D3,0)</f>
        <v/>
      </c>
      <c r="F3" s="20">
        <f>COUNTIF(Eval!K3:K14,2)</f>
        <v/>
      </c>
      <c r="G3" s="20">
        <f>COUNTIF(Eval!K3:K14,1)</f>
        <v/>
      </c>
      <c r="H3" s="20">
        <f>COUNTIF(Eval!K3:K14,0)</f>
        <v/>
      </c>
      <c r="I3" s="20">
        <f>COUNTIF(Eval!K3:K14,-1)</f>
        <v/>
      </c>
      <c r="J3" s="20">
        <f>COUNT(Eval!K3:K14)</f>
        <v/>
      </c>
      <c r="K3" s="20">
        <f>IFERROR(AVERAGE(Eval!L3:L14),0)</f>
        <v/>
      </c>
    </row>
    <row r="4">
      <c r="A4" s="20" t="inlineStr">
        <is>
          <t>SupplyAgent_Modeled</t>
        </is>
      </c>
      <c r="B4" s="20" t="inlineStr">
        <is>
          <t>MultiSource_Modeled star + Prep-for-AI</t>
        </is>
      </c>
      <c r="C4" s="20">
        <f>SUM(Eval!N3:N14)</f>
        <v/>
      </c>
      <c r="D4" s="20" t="n">
        <v>24</v>
      </c>
      <c r="E4" s="21">
        <f>IFERROR(C4/D4,0)</f>
        <v/>
      </c>
      <c r="F4" s="20">
        <f>COUNTIF(Eval!N3:N14,2)</f>
        <v/>
      </c>
      <c r="G4" s="20">
        <f>COUNTIF(Eval!N3:N14,1)</f>
        <v/>
      </c>
      <c r="H4" s="20">
        <f>COUNTIF(Eval!N3:N14,0)</f>
        <v/>
      </c>
      <c r="I4" s="20">
        <f>COUNTIF(Eval!N3:N14,-1)</f>
        <v/>
      </c>
      <c r="J4" s="20">
        <f>COUNT(Eval!N3:N14)</f>
        <v/>
      </c>
      <c r="K4" s="20">
        <f>IFERROR(AVERAGE(Eval!O3:O14),0)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22" min="1" max="1"/>
    <col width="80" customWidth="1" style="22" min="2" max="2"/>
  </cols>
  <sheetData>
    <row r="1" ht="15" customHeight="1" s="14">
      <c r="A1" s="23" t="inlineStr">
        <is>
          <t>Convention</t>
        </is>
      </c>
      <c r="B1" s="23" t="inlineStr">
        <is>
          <t>Value</t>
        </is>
      </c>
    </row>
    <row r="2" ht="15" customHeight="1" s="14">
      <c r="A2" s="24" t="inlineStr">
        <is>
          <t>Data window</t>
        </is>
      </c>
      <c r="B2" s="24" t="inlineStr">
        <is>
          <t>2025-06-01 to 2026-05-31</t>
        </is>
      </c>
    </row>
    <row r="3" ht="15" customHeight="1" s="14">
      <c r="A3" s="24" t="inlineStr">
        <is>
          <t>Acquisition date (Lakeside)</t>
        </is>
      </c>
      <c r="B3" s="24" t="inlineStr">
        <is>
          <t>2026-02-01</t>
        </is>
      </c>
    </row>
    <row r="4" ht="15" customHeight="1" s="14">
      <c r="A4" s="24" t="inlineStr">
        <is>
          <t>'Total / company sales'</t>
        </is>
      </c>
      <c r="B4" s="24" t="inlineStr">
        <is>
          <t>ERP + marketplace NET + Lakeside</t>
        </is>
      </c>
    </row>
    <row r="5" ht="15" customHeight="1" s="14">
      <c r="A5" s="24" t="inlineStr">
        <is>
          <t>Marketplace revenue</t>
        </is>
      </c>
      <c r="B5" s="24" t="inlineStr">
        <is>
          <t>NET of fees (payoutAmount) unless 'gross' is asked</t>
        </is>
      </c>
    </row>
    <row r="6" ht="15" customHeight="1" s="14">
      <c r="A6" s="24" t="inlineStr">
        <is>
          <t>Lakeside dates</t>
        </is>
      </c>
      <c r="B6" s="24" t="inlineStr">
        <is>
          <t>TEXT DD/MM/YYYY in raw exports</t>
        </is>
      </c>
    </row>
    <row r="7" ht="15" customHeight="1" s="14">
      <c r="A7" s="24" t="inlineStr">
        <is>
          <t>Stockout rate</t>
        </is>
      </c>
      <c r="B7" s="24" t="inlineStr">
        <is>
          <t>share of SKU-location-day snapshots with is_stockout = 1</t>
        </is>
      </c>
    </row>
    <row r="8" ht="15" customHeight="1" s="14">
      <c r="A8" s="24" t="inlineStr">
        <is>
          <t>Stockout risk</t>
        </is>
      </c>
      <c r="B8" s="24" t="inlineStr">
        <is>
          <t>on-hand &lt;= safety stock at latest snapshot (ERP) or near-zero latest weekly count (Lakeside)</t>
        </is>
      </c>
    </row>
    <row r="9" ht="15" customHeight="1" s="14">
      <c r="A9" s="24" t="inlineStr">
        <is>
          <t>Complaint</t>
        </is>
      </c>
      <c r="B9" s="24" t="inlineStr">
        <is>
          <t>helpdesk categoryId = 1 (Product complaint)</t>
        </is>
      </c>
    </row>
    <row r="10" ht="15" customHeight="1" s="14">
      <c r="A10" s="24" t="inlineStr">
        <is>
          <t>Tickets per 1K units</t>
        </is>
      </c>
      <c r="B10" s="24" t="inlineStr">
        <is>
          <t>resolved product refs only (88%); SKUs with &gt;= 1,000 units sold</t>
        </is>
      </c>
    </row>
    <row r="11" ht="15" customHeight="1" s="14">
      <c r="A11" s="24" t="inlineStr">
        <is>
          <t>Sell-through ratio</t>
        </is>
      </c>
      <c r="B11" s="24" t="inlineStr">
        <is>
          <t>units sold / average on-hand units over the period</t>
        </is>
      </c>
    </row>
    <row r="12" ht="15" customHeight="1" s="14">
      <c r="A12" s="24" t="inlineStr">
        <is>
          <t>Token/CU measurement</t>
        </is>
      </c>
      <c r="B12" s="24" t="inlineStr">
        <is>
          <t>Capacity Metrics app (capacity admin on fabricassesmentcoe) or Foundry/SDK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2026-06-11T14:10:31Z</dcterms:created>
  <dcterms:modified xsi:type="dcterms:W3CDTF">2026-06-12T21:44:09Z</dcterms:modified>
  <cp:revision>0</cp:revision>
</cp:coreProperties>
</file>