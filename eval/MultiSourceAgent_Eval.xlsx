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RnD\data-model-comparison\option-b\eval\"/>
    </mc:Choice>
  </mc:AlternateContent>
  <xr:revisionPtr revIDLastSave="0" documentId="13_ncr:1_{E18C5534-F91A-4386-A9E8-E5EAB384626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Eval" sheetId="1" r:id="rId1"/>
    <sheet name="Summary" sheetId="2" r:id="rId2"/>
    <sheet name="Conven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I3" i="2"/>
  <c r="H3" i="2"/>
  <c r="G3" i="2"/>
  <c r="F3" i="2"/>
  <c r="C3" i="2"/>
  <c r="E3" i="2" s="1"/>
  <c r="J2" i="2"/>
  <c r="I2" i="2"/>
  <c r="H2" i="2"/>
  <c r="G2" i="2"/>
  <c r="F2" i="2"/>
  <c r="C2" i="2"/>
  <c r="E2" i="2" s="1"/>
</calcChain>
</file>

<file path=xl/sharedStrings.xml><?xml version="1.0" encoding="utf-8"?>
<sst xmlns="http://schemas.openxmlformats.org/spreadsheetml/2006/main" count="111" uniqueCount="109">
  <si>
    <t>#</t>
  </si>
  <si>
    <t>Tier</t>
  </si>
  <si>
    <t>Question</t>
  </si>
  <si>
    <t>What it tests</t>
  </si>
  <si>
    <t>Gold answer</t>
  </si>
  <si>
    <t>Modeled</t>
  </si>
  <si>
    <t>Comment</t>
  </si>
  <si>
    <t>Score</t>
  </si>
  <si>
    <t>Q1</t>
  </si>
  <si>
    <t>What was our revenue in Q1 2026 by channel?</t>
  </si>
  <si>
    <t>Both answer; baseline for token comparison</t>
  </si>
  <si>
    <t>Online $7.030M / Retail $7.156M / Wholesale $6.911M; total $21.097M (ERP, Jan-Mar 2026)</t>
  </si>
  <si>
    <t>Q2</t>
  </si>
  <si>
    <t>What was our stockout rate in May 2026?</t>
  </si>
  <si>
    <t>Definition drift (share of SKUs vs share of rows)</t>
  </si>
  <si>
    <t>1.52% of SKU-location-day snapshots (ERP daily snapshots, May 2026)</t>
  </si>
  <si>
    <t>Q3</t>
  </si>
  <si>
    <t>What were total company sales in May 2026, including Lakeside and the marketplace?</t>
  </si>
  <si>
    <t>Cross-source conformance + gross/net rule</t>
  </si>
  <si>
    <t>$10.054M = ERP $8.382M + marketplace NET $0.622M + Lakeside $1.051M</t>
  </si>
  <si>
    <t>Q4</t>
  </si>
  <si>
    <t>Which products generate the most helpdesk tickets per 1,000 units sold?</t>
  </si>
  <si>
    <t>Free-text conformance + ratio convention</t>
  </si>
  <si>
    <t>SKU-0045 Titan Solenoid Valve 142.7/1K (2,041 tickets); SKU-0014 Titan Rocker Switch 115.9/1K (1,967); next SKU-0085 at 40.5. Convention: SKUs with &gt;=1,000 units; 88% of ticket refs resolve</t>
  </si>
  <si>
    <t>Q5</t>
  </si>
  <si>
    <t>What is the service parts attach rate for Hydraulics products?</t>
  </si>
  <si>
    <t>ITM code conformance</t>
  </si>
  <si>
    <t>8.1 parts per 100 units sold (16,156 parts / 199,192 Hydraulics units)</t>
  </si>
  <si>
    <t>Q6</t>
  </si>
  <si>
    <t>Which A-class products have open complaints AND are at stockout risk in the merged network?</t>
  </si>
  <si>
    <t>The flagship multi-hop question</t>
  </si>
  <si>
    <t>SKU-0014 Titan Rocker Switch 20A and SKU-0045 Titan Solenoid Valve 1in (open complaint tickets; on-hand &lt;= safety stock at 2026-05-31; near-zero Lakeside counts)</t>
  </si>
  <si>
    <t>Q7</t>
  </si>
  <si>
    <t>Compare Lakeside store sell-through vs our DCs since the acquisition.</t>
  </si>
  <si>
    <t>Mixed-grain inventory + acquisition date</t>
  </si>
  <si>
    <t>Feb-May 2026: Lakeside 2.85x vs DCs 1.70x. Lakeside turns ~1.7x faster</t>
  </si>
  <si>
    <t>Q8</t>
  </si>
  <si>
    <t>What were Lakeside sales on 03/02/2026?</t>
  </si>
  <si>
    <t>Date-format trap (DD/MM/YYYY)</t>
  </si>
  <si>
    <t>$36,836 (Feb 3, 2026 - dates are DD/MM/YYYY). An MM/DD misparse gives Mar 2 = $44,972</t>
  </si>
  <si>
    <t>Q9</t>
  </si>
  <si>
    <t>How much revenue has Lakeside generated since the acquisition?</t>
  </si>
  <si>
    <t>Period convention from Prep-for-AI</t>
  </si>
  <si>
    <t>$4.324M (Feb 1 - May 31, 2026; ~9% from Lakeside store-brand items)</t>
  </si>
  <si>
    <t>Q10</t>
  </si>
  <si>
    <t>How much of our total revenue can we actually tie to a known product?</t>
  </si>
  <si>
    <t>Governance / honest gap surfacing</t>
  </si>
  <si>
    <t>Q11</t>
  </si>
  <si>
    <t>Which product category has the worst after-sale reliability?</t>
  </si>
  <si>
    <t>Dual conformance (free-text + ITM) + category rollup + confidence note</t>
  </si>
  <si>
    <t>Hydraulics, 88.5 after-sale issues per 1K units (1,420 complaints + 16,156 service parts / 198,582 units); next Electrical 27.9. Confidence note: an 'Unknown' 2-product bucket scores 119.7/1K on only 3,811 units - exclude it</t>
  </si>
  <si>
    <t>Q12</t>
  </si>
  <si>
    <t>Which products are most overstocked relative to their category's sell-through?</t>
  </si>
  <si>
    <t>Nested measure vs computed category benchmark, on mixed-grain inventory</t>
  </si>
  <si>
    <t>Worst overstock vs ~6x category avg: SKU-0029 Atlas Drop-In Anchor M8 (0.47x) &amp; SKU-0039 Sterling Sleeve Anchor M12 (0.50x, Fasteners), SKU-0081 Atlas O-Ring Kit (0.50x, Hydraulics). No A-class sells below its category average (0/24); underperformers are B (25/31) and C (43/58) class</t>
  </si>
  <si>
    <t>Scoring: 2 = correct, 1 = partially correct, 0 = wrong, -1 = hallucinated (confident + false)</t>
  </si>
  <si>
    <t>Agent</t>
  </si>
  <si>
    <t>Data source</t>
  </si>
  <si>
    <t>Total score</t>
  </si>
  <si>
    <t>Max</t>
  </si>
  <si>
    <t>% of max</t>
  </si>
  <si>
    <t>Correct (2)</t>
  </si>
  <si>
    <t>Partial (1)</t>
  </si>
  <si>
    <t>Wrong (0)</t>
  </si>
  <si>
    <t>Hallucinated (-1)</t>
  </si>
  <si>
    <t>Answered</t>
  </si>
  <si>
    <t>SupplyAgent_Modeled</t>
  </si>
  <si>
    <t>Convention</t>
  </si>
  <si>
    <t>Value</t>
  </si>
  <si>
    <t>Data window</t>
  </si>
  <si>
    <t>2025-06-01 to 2026-05-31</t>
  </si>
  <si>
    <t>Acquisition date (Lakeside)</t>
  </si>
  <si>
    <t>2026-02-01</t>
  </si>
  <si>
    <t>'Total / company sales'</t>
  </si>
  <si>
    <t>ERP + marketplace NET + Lakeside</t>
  </si>
  <si>
    <t>Marketplace revenue</t>
  </si>
  <si>
    <t>NET of fees (payoutAmount) unless 'gross' is asked</t>
  </si>
  <si>
    <t>Lakeside dates</t>
  </si>
  <si>
    <t>TEXT DD/MM/YYYY in raw exports</t>
  </si>
  <si>
    <t>Stockout rate</t>
  </si>
  <si>
    <t>share of SKU-location-day snapshots with is_stockout = 1 (grain = daily)</t>
  </si>
  <si>
    <t>Stockout risk</t>
  </si>
  <si>
    <t>on-hand &lt;= safety stock at latest snapshot (ERP) or near-zero latest weekly count (Lakeside)</t>
  </si>
  <si>
    <t>Complaint</t>
  </si>
  <si>
    <t>helpdesk category = 'Product complaint' (is_complaint = TRUE)</t>
  </si>
  <si>
    <t>Tickets per 1K units</t>
  </si>
  <si>
    <t>resolved product refs only (88%); SKUs with &gt;= 1,000 units sold</t>
  </si>
  <si>
    <t>Service parts attach rate</t>
  </si>
  <si>
    <t>service parts used / units sold x 100 (per 100 units); ITM-code conformance</t>
  </si>
  <si>
    <t>Marketplace fee rate</t>
  </si>
  <si>
    <t>14% of gross; net (payoutAmount) = gross - fees</t>
  </si>
  <si>
    <t>Product ABC class</t>
  </si>
  <si>
    <t>ERP product-master attribute (A/B/C by sales importance); Lakeside-only and special SKUs default to C</t>
  </si>
  <si>
    <t>Sell-through ratio</t>
  </si>
  <si>
    <t>units sold / average on-hand units over the period</t>
  </si>
  <si>
    <t>Attributable revenue</t>
  </si>
  <si>
    <t>net revenue whose sku is a real product (not 'UNMAPPED' / 'UNRESOLVED'); ~99.5% attributable, gap = stale MegaMart UNMAPPED listings</t>
  </si>
  <si>
    <t>After-sale issues per 1K</t>
  </si>
  <si>
    <t>(product complaints + service parts used) / units sold x 1000, by category</t>
  </si>
  <si>
    <t>Category avg sell-through</t>
  </si>
  <si>
    <t>mean of per-product sell-through within a category; overstock = product &lt; category avg</t>
  </si>
  <si>
    <t>Token/CU measurement</t>
  </si>
  <si>
    <t>Capacity Metrics app (capacity admin on fabricassesmentcoe) or Foundry/SDK</t>
  </si>
  <si>
    <t>Legacy</t>
  </si>
  <si>
    <t>99.5% attributable; $0.553M (0.48% of $115.86M net) is unattributable - ALL of it stale MegaMart 'UNMAPPED' listings (7.5% of marketplace net). Modeled reports the gap; legacy assumes 100%</t>
  </si>
  <si>
    <t>Agents: Legacy = SupplyAgent_Legacy (MultiSource_Legacy + heavy agent instructions) | Modeled = SupplyAgent_Modeled (MultiSource_Modeled star + Prep-for-AI + light agent instructions)</t>
  </si>
  <si>
    <t>SupplyAgent_Legacy</t>
  </si>
  <si>
    <t>MultiSource_Legacy + heavy agent instructions</t>
  </si>
  <si>
    <t>MultiSource_Modeled star + Prep-for-AI + light agent instruction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</si>
</sst>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6" borderId="0" xfId="0" applyFont="1" applyFill="1"/>
    <xf numFmtId="0" fontId="1" fillId="6" borderId="0" xfId="0" applyFont="1" applyFill="1" applyAlignment="1">
      <alignment vertical="top"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2" fillId="4" borderId="0" xfId="0" applyFont="1" applyFill="1"/>
    <xf numFmtId="0" fontId="0" fillId="0" borderId="0" xfId="0"/>
    <xf numFmtId="0" fontId="0" fillId="0" borderId="2" xfId="0" applyBorder="1"/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0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0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workbookViewId="0">
      <pane ySplit="2" topLeftCell="A3" activePane="bottomLeft" state="frozen"/>
      <selection pane="bottomLeft" sqref="A1:A2"/>
    </sheetView>
  </sheetViews>
  <sheetFormatPr defaultRowHeight="15" x14ac:dyDescent="0.25"/>
  <cols>
    <col min="1" max="2" width="5" customWidth="1"/>
    <col min="3" max="3" width="40" customWidth="1"/>
    <col min="4" max="4" width="32" customWidth="1"/>
    <col min="5" max="5" width="70" customWidth="1"/>
    <col min="6" max="6" width="34" customWidth="1"/>
    <col min="7" max="7" width="8" customWidth="1"/>
    <col min="8" max="8" width="34" customWidth="1"/>
    <col min="9" max="9" width="8" customWidth="1"/>
  </cols>
  <sheetData>
    <row r="1" spans="1:9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103</v>
      </c>
      <c r="G1" s="13"/>
      <c r="H1" s="12" t="s">
        <v>5</v>
      </c>
      <c r="I1" s="13"/>
    </row>
    <row r="2" spans="1:9" x14ac:dyDescent="0.25">
      <c r="A2" s="16"/>
      <c r="B2" s="16"/>
      <c r="C2" s="16"/>
      <c r="D2" s="16"/>
      <c r="E2" s="16"/>
      <c r="F2" s="1" t="s">
        <v>103</v>
      </c>
      <c r="G2" s="2" t="s">
        <v>7</v>
      </c>
      <c r="H2" s="2" t="s">
        <v>6</v>
      </c>
      <c r="I2" s="2" t="s">
        <v>7</v>
      </c>
    </row>
    <row r="3" spans="1:9" ht="30" x14ac:dyDescent="0.25">
      <c r="A3" s="17" t="s">
        <v>8</v>
      </c>
      <c r="B3" s="3">
        <v>1</v>
      </c>
      <c r="C3" s="4" t="s">
        <v>9</v>
      </c>
      <c r="D3" s="4" t="s">
        <v>10</v>
      </c>
      <c r="E3" s="4" t="s">
        <v>11</v>
      </c>
      <c r="F3" s="4"/>
      <c r="G3" s="3"/>
      <c r="H3" s="4"/>
      <c r="I3" s="3"/>
    </row>
    <row r="4" spans="1:9" ht="30" x14ac:dyDescent="0.25">
      <c r="A4" s="17" t="s">
        <v>12</v>
      </c>
      <c r="B4" s="3">
        <v>1</v>
      </c>
      <c r="C4" s="4" t="s">
        <v>13</v>
      </c>
      <c r="D4" s="4" t="s">
        <v>14</v>
      </c>
      <c r="E4" s="4" t="s">
        <v>15</v>
      </c>
      <c r="F4" s="4"/>
      <c r="G4" s="3"/>
      <c r="H4" s="4"/>
      <c r="I4" s="3"/>
    </row>
    <row r="5" spans="1:9" ht="45" x14ac:dyDescent="0.25">
      <c r="A5" s="17" t="s">
        <v>16</v>
      </c>
      <c r="B5" s="3">
        <v>2</v>
      </c>
      <c r="C5" s="4" t="s">
        <v>17</v>
      </c>
      <c r="D5" s="4" t="s">
        <v>18</v>
      </c>
      <c r="E5" s="4" t="s">
        <v>19</v>
      </c>
      <c r="F5" s="4"/>
      <c r="G5" s="3"/>
      <c r="H5" s="4"/>
      <c r="I5" s="3"/>
    </row>
    <row r="6" spans="1:9" ht="45" x14ac:dyDescent="0.25">
      <c r="A6" s="17" t="s">
        <v>20</v>
      </c>
      <c r="B6" s="3">
        <v>2</v>
      </c>
      <c r="C6" s="4" t="s">
        <v>21</v>
      </c>
      <c r="D6" s="4" t="s">
        <v>22</v>
      </c>
      <c r="E6" s="4" t="s">
        <v>23</v>
      </c>
      <c r="F6" s="4"/>
      <c r="G6" s="3"/>
      <c r="H6" s="4"/>
      <c r="I6" s="3"/>
    </row>
    <row r="7" spans="1:9" ht="30" x14ac:dyDescent="0.25">
      <c r="A7" s="17" t="s">
        <v>24</v>
      </c>
      <c r="B7" s="3">
        <v>2</v>
      </c>
      <c r="C7" s="4" t="s">
        <v>25</v>
      </c>
      <c r="D7" s="4" t="s">
        <v>26</v>
      </c>
      <c r="E7" s="4" t="s">
        <v>27</v>
      </c>
      <c r="F7" s="4"/>
      <c r="G7" s="3"/>
      <c r="H7" s="4"/>
      <c r="I7" s="3"/>
    </row>
    <row r="8" spans="1:9" ht="45" x14ac:dyDescent="0.25">
      <c r="A8" s="17" t="s">
        <v>28</v>
      </c>
      <c r="B8" s="3">
        <v>3</v>
      </c>
      <c r="C8" s="4" t="s">
        <v>29</v>
      </c>
      <c r="D8" s="4" t="s">
        <v>30</v>
      </c>
      <c r="E8" s="4" t="s">
        <v>31</v>
      </c>
      <c r="F8" s="4"/>
      <c r="G8" s="3"/>
      <c r="H8" s="4"/>
      <c r="I8" s="3"/>
    </row>
    <row r="9" spans="1:9" ht="30" x14ac:dyDescent="0.25">
      <c r="A9" s="17" t="s">
        <v>32</v>
      </c>
      <c r="B9" s="3">
        <v>3</v>
      </c>
      <c r="C9" s="4" t="s">
        <v>33</v>
      </c>
      <c r="D9" s="4" t="s">
        <v>34</v>
      </c>
      <c r="E9" s="4" t="s">
        <v>35</v>
      </c>
      <c r="F9" s="4"/>
      <c r="G9" s="3"/>
      <c r="H9" s="4"/>
      <c r="I9" s="3"/>
    </row>
    <row r="10" spans="1:9" ht="30" x14ac:dyDescent="0.25">
      <c r="A10" s="17" t="s">
        <v>36</v>
      </c>
      <c r="B10" s="3">
        <v>3</v>
      </c>
      <c r="C10" s="4" t="s">
        <v>37</v>
      </c>
      <c r="D10" s="4" t="s">
        <v>38</v>
      </c>
      <c r="E10" s="4" t="s">
        <v>39</v>
      </c>
      <c r="F10" s="4"/>
      <c r="G10" s="3"/>
      <c r="H10" s="4"/>
      <c r="I10" s="3"/>
    </row>
    <row r="11" spans="1:9" ht="30" x14ac:dyDescent="0.25">
      <c r="A11" s="17" t="s">
        <v>40</v>
      </c>
      <c r="B11" s="3">
        <v>2</v>
      </c>
      <c r="C11" s="4" t="s">
        <v>41</v>
      </c>
      <c r="D11" s="4" t="s">
        <v>42</v>
      </c>
      <c r="E11" s="4" t="s">
        <v>43</v>
      </c>
      <c r="F11" s="4"/>
      <c r="G11" s="3"/>
      <c r="H11" s="4"/>
      <c r="I11" s="3"/>
    </row>
    <row r="12" spans="1:9" ht="45" x14ac:dyDescent="0.25">
      <c r="A12" s="17" t="s">
        <v>44</v>
      </c>
      <c r="B12" s="3">
        <v>3</v>
      </c>
      <c r="C12" s="4" t="s">
        <v>45</v>
      </c>
      <c r="D12" s="4" t="s">
        <v>46</v>
      </c>
      <c r="E12" s="4" t="s">
        <v>104</v>
      </c>
      <c r="F12" s="4"/>
      <c r="G12" s="3"/>
      <c r="H12" s="4"/>
      <c r="I12" s="3"/>
    </row>
    <row r="13" spans="1:9" ht="45" x14ac:dyDescent="0.25">
      <c r="A13" s="17" t="s">
        <v>47</v>
      </c>
      <c r="B13" s="3">
        <v>3</v>
      </c>
      <c r="C13" s="4" t="s">
        <v>48</v>
      </c>
      <c r="D13" s="4" t="s">
        <v>49</v>
      </c>
      <c r="E13" s="4" t="s">
        <v>50</v>
      </c>
      <c r="F13" s="4"/>
      <c r="G13" s="3"/>
      <c r="H13" s="4"/>
      <c r="I13" s="3"/>
    </row>
    <row r="14" spans="1:9" ht="60" x14ac:dyDescent="0.25">
      <c r="A14" s="17" t="s">
        <v>51</v>
      </c>
      <c r="B14" s="3">
        <v>3</v>
      </c>
      <c r="C14" s="4" t="s">
        <v>52</v>
      </c>
      <c r="D14" s="4" t="s">
        <v>53</v>
      </c>
      <c r="E14" s="4" t="s">
        <v>54</v>
      </c>
      <c r="F14" s="4"/>
      <c r="G14" s="3"/>
      <c r="H14" s="4"/>
      <c r="I14" s="3"/>
    </row>
    <row r="16" spans="1:9" x14ac:dyDescent="0.25">
      <c r="A16" s="14" t="s">
        <v>55</v>
      </c>
      <c r="B16" s="15"/>
      <c r="C16" s="15"/>
      <c r="D16" s="15"/>
      <c r="E16" s="15"/>
      <c r="F16" s="15"/>
      <c r="G16" s="15"/>
      <c r="H16" s="15"/>
      <c r="I16" s="15"/>
    </row>
    <row r="17" spans="1:9" x14ac:dyDescent="0.25">
      <c r="A17" s="14" t="s">
        <v>105</v>
      </c>
      <c r="B17" s="15"/>
      <c r="C17" s="15"/>
      <c r="D17" s="15"/>
      <c r="E17" s="15"/>
      <c r="F17" s="15"/>
      <c r="G17" s="15"/>
      <c r="H17" s="15"/>
      <c r="I17" s="15"/>
    </row>
  </sheetData>
  <mergeCells count="9">
    <mergeCell ref="H1:I1"/>
    <mergeCell ref="A17:I17"/>
    <mergeCell ref="C1:C2"/>
    <mergeCell ref="B1:B2"/>
    <mergeCell ref="D1:D2"/>
    <mergeCell ref="E1:E2"/>
    <mergeCell ref="F1:G1"/>
    <mergeCell ref="A16:I16"/>
    <mergeCell ref="A1:A2"/>
  </mergeCells>
  <conditionalFormatting sqref="F3:F14">
    <cfRule type="expression" dxfId="9" priority="6">
      <formula>ISBLANK($G3)</formula>
    </cfRule>
    <cfRule type="expression" dxfId="8" priority="7">
      <formula>AND($G3=0, NOT(ISBLANK($G3)))</formula>
    </cfRule>
    <cfRule type="expression" dxfId="7" priority="8">
      <formula>$G3=1</formula>
    </cfRule>
    <cfRule type="expression" dxfId="6" priority="9">
      <formula>$G3=2</formula>
    </cfRule>
    <cfRule type="expression" dxfId="5" priority="10">
      <formula>$G3=-1</formula>
    </cfRule>
  </conditionalFormatting>
  <conditionalFormatting sqref="H3:H14">
    <cfRule type="expression" dxfId="4" priority="1">
      <formula>ISBLANK($I3)</formula>
    </cfRule>
    <cfRule type="expression" dxfId="3" priority="2">
      <formula>AND($I3=0, NOT(ISBLANK($I3)))</formula>
    </cfRule>
    <cfRule type="expression" dxfId="2" priority="3">
      <formula>$I3=1</formula>
    </cfRule>
    <cfRule type="expression" dxfId="1" priority="4">
      <formula>$I3=2</formula>
    </cfRule>
    <cfRule type="expression" dxfId="0" priority="5">
      <formula>$I3=-1</formula>
    </cfRule>
  </conditionalFormatting>
  <dataValidations count="1">
    <dataValidation type="list" allowBlank="1" showInputMessage="1" showErrorMessage="1" sqref="G3:G14 I3:I14" xr:uid="{CBDCCA25-A874-4530-972F-4EDE6FF4ACB6}">
      <formula1>"2,1,0,-1"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workbookViewId="0">
      <selection sqref="A1:XFD1048576"/>
    </sheetView>
  </sheetViews>
  <sheetFormatPr defaultRowHeight="15" x14ac:dyDescent="0.25"/>
  <cols>
    <col min="1" max="1" width="21.7109375" bestFit="1" customWidth="1"/>
    <col min="2" max="2" width="59.28515625" bestFit="1" customWidth="1"/>
    <col min="3" max="3" width="10.5703125" bestFit="1" customWidth="1"/>
    <col min="4" max="4" width="4.85546875" bestFit="1" customWidth="1"/>
    <col min="5" max="5" width="9" customWidth="1"/>
    <col min="6" max="6" width="10.28515625" bestFit="1" customWidth="1"/>
    <col min="7" max="7" width="9.5703125" bestFit="1" customWidth="1"/>
    <col min="8" max="8" width="9.85546875" bestFit="1" customWidth="1"/>
    <col min="9" max="9" width="15.85546875" bestFit="1" customWidth="1"/>
    <col min="10" max="10" width="10" customWidth="1"/>
  </cols>
  <sheetData>
    <row r="1" spans="1:10" x14ac:dyDescent="0.25">
      <c r="A1" s="5" t="s">
        <v>56</v>
      </c>
      <c r="B1" s="5" t="s">
        <v>57</v>
      </c>
      <c r="C1" s="5" t="s">
        <v>58</v>
      </c>
      <c r="D1" s="5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5" t="s">
        <v>64</v>
      </c>
      <c r="J1" s="5" t="s">
        <v>65</v>
      </c>
    </row>
    <row r="2" spans="1:10" x14ac:dyDescent="0.25">
      <c r="A2" s="6" t="s">
        <v>106</v>
      </c>
      <c r="B2" s="4" t="s">
        <v>107</v>
      </c>
      <c r="C2" s="3">
        <f>SUM(Eval!G3:G14)</f>
        <v>0</v>
      </c>
      <c r="D2" s="3">
        <v>24</v>
      </c>
      <c r="E2" s="7">
        <f>IF(D2=0,"",C2/D2)</f>
        <v>0</v>
      </c>
      <c r="F2" s="3">
        <f>COUNTIF(Eval!G3:G14,2)</f>
        <v>0</v>
      </c>
      <c r="G2" s="3">
        <f>COUNTIF(Eval!G3:G14,1)</f>
        <v>0</v>
      </c>
      <c r="H2" s="3">
        <f>COUNTIF(Eval!G3:G14,0)</f>
        <v>0</v>
      </c>
      <c r="I2" s="3">
        <f>COUNTIF(Eval!G3:G14,-1)</f>
        <v>0</v>
      </c>
      <c r="J2" s="3">
        <f>COUNT(Eval!G3:G14)</f>
        <v>0</v>
      </c>
    </row>
    <row r="3" spans="1:10" x14ac:dyDescent="0.25">
      <c r="A3" s="6" t="s">
        <v>66</v>
      </c>
      <c r="B3" s="4" t="s">
        <v>108</v>
      </c>
      <c r="C3" s="3">
        <f>SUM(Eval!I3:I14)</f>
        <v>0</v>
      </c>
      <c r="D3" s="3">
        <v>24</v>
      </c>
      <c r="E3" s="7">
        <f>IF(D3=0,"",C3/D3)</f>
        <v>0</v>
      </c>
      <c r="F3" s="3">
        <f>COUNTIF(Eval!I3:I14,2)</f>
        <v>0</v>
      </c>
      <c r="G3" s="3">
        <f>COUNTIF(Eval!I3:I14,1)</f>
        <v>0</v>
      </c>
      <c r="H3" s="3">
        <f>COUNTIF(Eval!I3:I14,0)</f>
        <v>0</v>
      </c>
      <c r="I3" s="3">
        <f>COUNTIF(Eval!I3:I14,-1)</f>
        <v>0</v>
      </c>
      <c r="J3" s="3">
        <f>COUNT(Eval!I3:I14)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sqref="A1:B18"/>
    </sheetView>
  </sheetViews>
  <sheetFormatPr defaultRowHeight="15" x14ac:dyDescent="0.25"/>
  <cols>
    <col min="1" max="1" width="25.5703125" bestFit="1" customWidth="1"/>
    <col min="2" max="2" width="126" bestFit="1" customWidth="1"/>
  </cols>
  <sheetData>
    <row r="1" spans="1:2" x14ac:dyDescent="0.25">
      <c r="A1" s="8" t="s">
        <v>67</v>
      </c>
      <c r="B1" s="9" t="s">
        <v>68</v>
      </c>
    </row>
    <row r="2" spans="1:2" x14ac:dyDescent="0.25">
      <c r="A2" s="10" t="s">
        <v>69</v>
      </c>
      <c r="B2" s="11" t="s">
        <v>70</v>
      </c>
    </row>
    <row r="3" spans="1:2" x14ac:dyDescent="0.25">
      <c r="A3" s="10" t="s">
        <v>71</v>
      </c>
      <c r="B3" s="11" t="s">
        <v>72</v>
      </c>
    </row>
    <row r="4" spans="1:2" x14ac:dyDescent="0.25">
      <c r="A4" s="10" t="s">
        <v>73</v>
      </c>
      <c r="B4" s="11" t="s">
        <v>74</v>
      </c>
    </row>
    <row r="5" spans="1:2" x14ac:dyDescent="0.25">
      <c r="A5" s="10" t="s">
        <v>75</v>
      </c>
      <c r="B5" s="11" t="s">
        <v>76</v>
      </c>
    </row>
    <row r="6" spans="1:2" x14ac:dyDescent="0.25">
      <c r="A6" s="10" t="s">
        <v>77</v>
      </c>
      <c r="B6" s="11" t="s">
        <v>78</v>
      </c>
    </row>
    <row r="7" spans="1:2" x14ac:dyDescent="0.25">
      <c r="A7" s="10" t="s">
        <v>79</v>
      </c>
      <c r="B7" s="11" t="s">
        <v>80</v>
      </c>
    </row>
    <row r="8" spans="1:2" x14ac:dyDescent="0.25">
      <c r="A8" s="10" t="s">
        <v>81</v>
      </c>
      <c r="B8" s="11" t="s">
        <v>82</v>
      </c>
    </row>
    <row r="9" spans="1:2" x14ac:dyDescent="0.25">
      <c r="A9" s="10" t="s">
        <v>83</v>
      </c>
      <c r="B9" s="11" t="s">
        <v>84</v>
      </c>
    </row>
    <row r="10" spans="1:2" x14ac:dyDescent="0.25">
      <c r="A10" s="10" t="s">
        <v>85</v>
      </c>
      <c r="B10" s="11" t="s">
        <v>86</v>
      </c>
    </row>
    <row r="11" spans="1:2" x14ac:dyDescent="0.25">
      <c r="A11" s="10" t="s">
        <v>87</v>
      </c>
      <c r="B11" s="11" t="s">
        <v>88</v>
      </c>
    </row>
    <row r="12" spans="1:2" x14ac:dyDescent="0.25">
      <c r="A12" s="10" t="s">
        <v>89</v>
      </c>
      <c r="B12" s="11" t="s">
        <v>90</v>
      </c>
    </row>
    <row r="13" spans="1:2" x14ac:dyDescent="0.25">
      <c r="A13" s="10" t="s">
        <v>91</v>
      </c>
      <c r="B13" s="11" t="s">
        <v>92</v>
      </c>
    </row>
    <row r="14" spans="1:2" x14ac:dyDescent="0.25">
      <c r="A14" s="10" t="s">
        <v>93</v>
      </c>
      <c r="B14" s="11" t="s">
        <v>94</v>
      </c>
    </row>
    <row r="15" spans="1:2" x14ac:dyDescent="0.25">
      <c r="A15" s="10" t="s">
        <v>95</v>
      </c>
      <c r="B15" s="11" t="s">
        <v>96</v>
      </c>
    </row>
    <row r="16" spans="1:2" x14ac:dyDescent="0.25">
      <c r="A16" s="10" t="s">
        <v>97</v>
      </c>
      <c r="B16" s="11" t="s">
        <v>98</v>
      </c>
    </row>
    <row r="17" spans="1:2" x14ac:dyDescent="0.25">
      <c r="A17" s="10" t="s">
        <v>99</v>
      </c>
      <c r="B17" s="11" t="s">
        <v>100</v>
      </c>
    </row>
    <row r="18" spans="1:2" x14ac:dyDescent="0.25">
      <c r="A18" s="10" t="s">
        <v>101</v>
      </c>
      <c r="B18" s="11" t="s">
        <v>102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Eval</vt:lpstr>
      <vt:lpstr>Summary</vt:lpstr>
      <vt:lpstr>Conventions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Viktor Krykun</cp:lastModifiedBy>
  <dcterms:created xsi:type="dcterms:W3CDTF">2026-06-17T21:11:10Z</dcterms:created>
  <dcterms:modified xsi:type="dcterms:W3CDTF">2026-06-19T17:56:37Z</dcterms:modified>
</cp:coreProperties>
</file>