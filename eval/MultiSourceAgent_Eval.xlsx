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val" sheetId="1" state="visible" r:id="rId3"/>
    <sheet name="Convention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<sst xmlns="http://schemas.openxmlformats.org/spreadsheetml/2006/main" count="99" uniqueCount="99">
  <si>
    <t xml:space="preserve">#</t>
  </si>
  <si>
    <t xml:space="preserve">Tier</t>
  </si>
  <si>
    <t xml:space="preserve">Question</t>
  </si>
  <si>
    <t xml:space="preserve">Gold answer</t>
  </si>
  <si>
    <t xml:space="preserve">Expected v1 failure</t>
  </si>
  <si>
    <t xml:space="preserve">What it tests</t>
  </si>
  <si>
    <t xml:space="preserve">v1 score</t>
  </si>
  <si>
    <t xml:space="preserve">v2 score</t>
  </si>
  <si>
    <t xml:space="preserve">v1 tokens/CUs</t>
  </si>
  <si>
    <t xml:space="preserve">v2 tokens/CUs</t>
  </si>
  <si>
    <t xml:space="preserve">Notes</t>
  </si>
  <si>
    <t xml:space="preserve">Q1</t>
  </si>
  <si>
    <t xml:space="preserve">What was our revenue in Q1 2026 by channel?</t>
  </si>
  <si>
    <t xml:space="preserve">Online $7.030M / Retail $7.156M / Wholesale $6.911M; total $21.097M (ERP, Jan-Mar 2026)</t>
  </si>
  <si>
    <t xml:space="preserve">Should pass — single clean table</t>
  </si>
  <si>
    <t xml:space="preserve">Both answer; baseline for token comparison</t>
  </si>
  <si>
    <t xml:space="preserve">Q2</t>
  </si>
  <si>
    <t xml:space="preserve">What are our top 5 products by revenue?</t>
  </si>
  <si>
    <t xml:space="preserve">SKU-0074 Terminal Block $6.68M; SKU-0094 Hydraulic Hose $4.86M; SKU-0014 Rocker Switch $4.77M; SKU-0079 IEC Connector $4.42M; SKU-0080 Stretch Wrap $4.33M (ERP, full window)</t>
  </si>
  <si>
    <t xml:space="preserve">Should pass</t>
  </si>
  <si>
    <t xml:space="preserve">May differ if it tries to include unjoinable sources</t>
  </si>
  <si>
    <t xml:space="preserve">Q3</t>
  </si>
  <si>
    <t xml:space="preserve">What was our stockout rate in May 2026?</t>
  </si>
  <si>
    <t xml:space="preserve">1.52% of SKU-location-days (ERP daily snapshots, May 2026)</t>
  </si>
  <si>
    <t xml:space="preserve">Should pass — is_stockout flag exists raw</t>
  </si>
  <si>
    <t xml:space="preserve">Definition drift possible (share of SKUs vs share of rows)</t>
  </si>
  <si>
    <t xml:space="preserve">Q4</t>
  </si>
  <si>
    <t xml:space="preserve">What were total company sales in May 2026, including Lakeside and the marketplace?</t>
  </si>
  <si>
    <t xml:space="preserve">$10.054M = ERP $8.382M + marketplace NET $0.622M + Lakeside $1.051M</t>
  </si>
  <si>
    <t xml:space="preserve">ERP-only $8.382M, or $9.106M using marketplace GROSS; Lakeside missed (text DD/MM/YYYY dates, no join)</t>
  </si>
  <si>
    <t xml:space="preserve">Tests cross-source conformance + gross/net rule</t>
  </si>
  <si>
    <t xml:space="preserve">Q5</t>
  </si>
  <si>
    <t xml:space="preserve">What is our net marketplace revenue after fees, by month?</t>
  </si>
  <si>
    <t xml:space="preserve">Full window $7.335M net (gross $8.534M, fees 14.0%). E.g. Mar-26 $638K, Apr-26 $594K, May-26 $622K</t>
  </si>
  <si>
    <t xml:space="preserve">Reports gross from mm_orders (no settlement join): ~16% overstated</t>
  </si>
  <si>
    <t xml:space="preserve">Gross-vs-net trap</t>
  </si>
  <si>
    <t xml:space="preserve">Q6</t>
  </si>
  <si>
    <t xml:space="preserve">Which products generate the most helpdesk tickets per 1,000 units sold?</t>
  </si>
  <si>
    <t xml:space="preserve">SKU-0045 Titan Solenoid Valve 142.7/1K (2,041 tickets); SKU-0014 Titan Rocker Switch 115.9/1K (1,967); next SKU-0085 at 40.5. Convention: SKUs with &gt;=1,000 units; 88% of ticket refs resolve</t>
  </si>
  <si>
    <t xml:space="preserve">Cannot join free-text productRef to units; hallucinated join or refusal</t>
  </si>
  <si>
    <t xml:space="preserve">Free-text conformance + ratio convention</t>
  </si>
  <si>
    <t xml:space="preserve">Q7</t>
  </si>
  <si>
    <t xml:space="preserve">What is the service parts attach rate for Hydraulics products?</t>
  </si>
  <si>
    <t xml:space="preserve">8.1 parts per 100 units sold (16,156 parts / 199,192 Hydraulics units)</t>
  </si>
  <si>
    <t xml:space="preserve">Cannot resolve ITM- codes to SKUs; wrong denominator or hallucination</t>
  </si>
  <si>
    <t xml:space="preserve">ITM code conformance</t>
  </si>
  <si>
    <t xml:space="preserve">Q8</t>
  </si>
  <si>
    <t xml:space="preserve">Which A-class products have open complaints AND are at stockout risk in the merged network?</t>
  </si>
  <si>
    <t xml:space="preserve">SKU-0014 Titan Rocker Switch 20A and SKU-0045 Titan Solenoid Valve 1in (open complaint tickets; on-hand &lt;= safety stock at 2026-05-31; near-zero Lakeside counts)</t>
  </si>
  <si>
    <t xml:space="preserve">Multi-hop across 4 sources fails; likely hallucinated list</t>
  </si>
  <si>
    <t xml:space="preserve">The flagship multi-hop question</t>
  </si>
  <si>
    <t xml:space="preserve">Q9</t>
  </si>
  <si>
    <t xml:space="preserve">Compare Lakeside store sell-through vs our DCs since the acquisition.</t>
  </si>
  <si>
    <t xml:space="preserve">Feb-May 2026: Lakeside 2.85x (46,145 units / 16,187 avg on-hand) vs DCs 1.70x (234,391 / 138,261). Lakeside turns ~1.7x faster</t>
  </si>
  <si>
    <t xml:space="preserve">Cannot parse Lakeside text dates or weekly counts; no answer or invented numbers</t>
  </si>
  <si>
    <t xml:space="preserve">Mixed-grain inventory + acquisition date</t>
  </si>
  <si>
    <t xml:space="preserve">Q10</t>
  </si>
  <si>
    <t xml:space="preserve">What were Lakeside sales on 03/02/2026?</t>
  </si>
  <si>
    <t xml:space="preserve">$36,836 (Feb 3, 2026 — dates are DD/MM/YYYY). An MM/DD misparse gives Mar 2 = $44,972</t>
  </si>
  <si>
    <t xml:space="preserve">Misparses as March 2 or fails on text date</t>
  </si>
  <si>
    <t xml:space="preserve">Date-format trap</t>
  </si>
  <si>
    <t xml:space="preserve">Q11</t>
  </si>
  <si>
    <t xml:space="preserve">How much revenue has Lakeside generated since the acquisition?</t>
  </si>
  <si>
    <t xml:space="preserve">$4.324M (Feb 1 - May 31, 2026; ~9% from Lakeside store-brand items)</t>
  </si>
  <si>
    <t xml:space="preserve">No acquisition date knowledge + text dates: wrong period or no answer</t>
  </si>
  <si>
    <t xml:space="preserve">Period convention from Prep-for-AI</t>
  </si>
  <si>
    <t xml:space="preserve">Q12</t>
  </si>
  <si>
    <t xml:space="preserve">How much marketplace revenue can't be tied to one of our products?</t>
  </si>
  <si>
    <t xml:space="preserve">$94K gross (1.1% of marketplace gross) from ~10 stale/unmapped listings</t>
  </si>
  <si>
    <t xml:space="preserve">No xref join: either 0% or everything unmapped</t>
  </si>
  <si>
    <t xml:space="preserve">Data-quality awareness question</t>
  </si>
  <si>
    <t xml:space="preserve">Scoring: 2 = correct, 1 = partially correct, 0 = wrong, -1 = hallucinated (confident + false)</t>
  </si>
  <si>
    <t xml:space="preserve">Totals:</t>
  </si>
  <si>
    <t xml:space="preserve">Accuracy % (of max 24):</t>
  </si>
  <si>
    <t xml:space="preserve">Tokens per correct answer:</t>
  </si>
  <si>
    <t xml:space="preserve">Convention</t>
  </si>
  <si>
    <t xml:space="preserve">Value</t>
  </si>
  <si>
    <t xml:space="preserve">Data window</t>
  </si>
  <si>
    <t xml:space="preserve">2025-06-01 to 2026-05-31</t>
  </si>
  <si>
    <t xml:space="preserve">Acquisition date (Lakeside)</t>
  </si>
  <si>
    <t xml:space="preserve">2026-02-01</t>
  </si>
  <si>
    <t xml:space="preserve">'Total / company sales'</t>
  </si>
  <si>
    <t xml:space="preserve">ERP + marketplace NET + Lakeside</t>
  </si>
  <si>
    <t xml:space="preserve">Marketplace revenue</t>
  </si>
  <si>
    <t xml:space="preserve">NET of fees (payoutAmount) unless 'gross' is asked</t>
  </si>
  <si>
    <t xml:space="preserve">Lakeside dates</t>
  </si>
  <si>
    <t xml:space="preserve">TEXT DD/MM/YYYY in raw exports</t>
  </si>
  <si>
    <t xml:space="preserve">Stockout rate</t>
  </si>
  <si>
    <t xml:space="preserve">share of SKU-location-day snapshots with is_stockout = 1</t>
  </si>
  <si>
    <t xml:space="preserve">Stockout risk</t>
  </si>
  <si>
    <t xml:space="preserve">on-hand &lt;= safety stock at latest snapshot (ERP) or near-zero latest weekly count (Lakeside)</t>
  </si>
  <si>
    <t xml:space="preserve">Complaint</t>
  </si>
  <si>
    <t xml:space="preserve">helpdesk categoryId = 1 (Product complaint)</t>
  </si>
  <si>
    <t xml:space="preserve">Tickets per 1K units</t>
  </si>
  <si>
    <t xml:space="preserve">resolved product refs only (88%); SKUs with &gt;= 1,000 units sold</t>
  </si>
  <si>
    <t xml:space="preserve">Sell-through ratio</t>
  </si>
  <si>
    <t xml:space="preserve">units sold / average on-hand units over the period</t>
  </si>
  <si>
    <t xml:space="preserve">Token/CU measurement</t>
  </si>
  <si>
    <t xml:space="preserve">Capacity Metrics app (capacity admin on fabricassesmentcoe) or Foundry/SDK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</si>
</sst>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FCE4EC"/>
      </patternFill>
    </fill>
    <fill>
      <patternFill patternType="solid">
        <fgColor rgb="FFFCE4EC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FCE4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5"/>
    <col collapsed="false" customWidth="true" hidden="false" outlineLevel="0" max="3" min="3" style="0" width="38"/>
    <col collapsed="false" customWidth="true" hidden="false" outlineLevel="0" max="4" min="4" style="0" width="52"/>
    <col collapsed="false" customWidth="true" hidden="false" outlineLevel="0" max="5" min="5" style="0" width="40"/>
    <col collapsed="false" customWidth="true" hidden="false" outlineLevel="0" max="6" min="6" style="0" width="30"/>
    <col collapsed="false" customWidth="true" hidden="false" outlineLevel="0" max="8" min="7" style="0" width="9"/>
    <col collapsed="false" customWidth="true" hidden="false" outlineLevel="0" max="10" min="9" style="0" width="12"/>
    <col collapsed="false" customWidth="true" hidden="false" outlineLevel="0" max="11" min="11" style="0" width="24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23.85" hidden="false" customHeight="false" outlineLevel="0" collapsed="false">
      <c r="A2" s="2" t="s">
        <v>11</v>
      </c>
      <c r="B2" s="3" t="n">
        <v>1</v>
      </c>
      <c r="C2" s="2" t="s">
        <v>12</v>
      </c>
      <c r="D2" s="2" t="s">
        <v>13</v>
      </c>
      <c r="E2" s="2" t="s">
        <v>14</v>
      </c>
      <c r="F2" s="2" t="s">
        <v>15</v>
      </c>
      <c r="G2" s="4"/>
      <c r="H2" s="4"/>
      <c r="I2" s="4"/>
      <c r="J2" s="4"/>
      <c r="K2" s="4"/>
    </row>
    <row r="3" customFormat="false" ht="46.25" hidden="false" customHeight="false" outlineLevel="0" collapsed="false">
      <c r="A3" s="2" t="s">
        <v>16</v>
      </c>
      <c r="B3" s="3" t="n">
        <v>1</v>
      </c>
      <c r="C3" s="2" t="s">
        <v>17</v>
      </c>
      <c r="D3" s="2" t="s">
        <v>18</v>
      </c>
      <c r="E3" s="2" t="s">
        <v>19</v>
      </c>
      <c r="F3" s="2" t="s">
        <v>20</v>
      </c>
      <c r="G3" s="4"/>
      <c r="H3" s="4"/>
      <c r="I3" s="4"/>
      <c r="J3" s="4"/>
      <c r="K3" s="4"/>
    </row>
    <row r="4" customFormat="false" ht="23.85" hidden="false" customHeight="false" outlineLevel="0" collapsed="false">
      <c r="A4" s="2" t="s">
        <v>21</v>
      </c>
      <c r="B4" s="3" t="n">
        <v>1</v>
      </c>
      <c r="C4" s="2" t="s">
        <v>22</v>
      </c>
      <c r="D4" s="2" t="s">
        <v>23</v>
      </c>
      <c r="E4" s="2" t="s">
        <v>24</v>
      </c>
      <c r="F4" s="2" t="s">
        <v>25</v>
      </c>
      <c r="G4" s="4"/>
      <c r="H4" s="4"/>
      <c r="I4" s="4"/>
      <c r="J4" s="4"/>
      <c r="K4" s="4"/>
    </row>
    <row r="5" customFormat="false" ht="35.05" hidden="false" customHeight="false" outlineLevel="0" collapsed="false">
      <c r="A5" s="2" t="s">
        <v>26</v>
      </c>
      <c r="B5" s="5" t="n">
        <v>2</v>
      </c>
      <c r="C5" s="2" t="s">
        <v>27</v>
      </c>
      <c r="D5" s="2" t="s">
        <v>28</v>
      </c>
      <c r="E5" s="2" t="s">
        <v>29</v>
      </c>
      <c r="F5" s="2" t="s">
        <v>30</v>
      </c>
      <c r="G5" s="4"/>
      <c r="H5" s="4"/>
      <c r="I5" s="4"/>
      <c r="J5" s="4"/>
      <c r="K5" s="4"/>
    </row>
    <row r="6" customFormat="false" ht="23.85" hidden="false" customHeight="false" outlineLevel="0" collapsed="false">
      <c r="A6" s="2" t="s">
        <v>31</v>
      </c>
      <c r="B6" s="5" t="n">
        <v>2</v>
      </c>
      <c r="C6" s="2" t="s">
        <v>32</v>
      </c>
      <c r="D6" s="2" t="s">
        <v>33</v>
      </c>
      <c r="E6" s="2" t="s">
        <v>34</v>
      </c>
      <c r="F6" s="2" t="s">
        <v>35</v>
      </c>
      <c r="G6" s="4"/>
      <c r="H6" s="4"/>
      <c r="I6" s="4"/>
      <c r="J6" s="4"/>
      <c r="K6" s="4"/>
    </row>
    <row r="7" customFormat="false" ht="46.25" hidden="false" customHeight="false" outlineLevel="0" collapsed="false">
      <c r="A7" s="2" t="s">
        <v>36</v>
      </c>
      <c r="B7" s="5" t="n">
        <v>2</v>
      </c>
      <c r="C7" s="2" t="s">
        <v>37</v>
      </c>
      <c r="D7" s="2" t="s">
        <v>38</v>
      </c>
      <c r="E7" s="2" t="s">
        <v>39</v>
      </c>
      <c r="F7" s="2" t="s">
        <v>40</v>
      </c>
      <c r="G7" s="4"/>
      <c r="H7" s="4"/>
      <c r="I7" s="4"/>
      <c r="J7" s="4"/>
      <c r="K7" s="4"/>
    </row>
    <row r="8" customFormat="false" ht="23.85" hidden="false" customHeight="false" outlineLevel="0" collapsed="false">
      <c r="A8" s="2" t="s">
        <v>41</v>
      </c>
      <c r="B8" s="5" t="n">
        <v>2</v>
      </c>
      <c r="C8" s="2" t="s">
        <v>42</v>
      </c>
      <c r="D8" s="2" t="s">
        <v>43</v>
      </c>
      <c r="E8" s="2" t="s">
        <v>44</v>
      </c>
      <c r="F8" s="2" t="s">
        <v>45</v>
      </c>
      <c r="G8" s="4"/>
      <c r="H8" s="4"/>
      <c r="I8" s="4"/>
      <c r="J8" s="4"/>
      <c r="K8" s="4"/>
    </row>
    <row r="9" customFormat="false" ht="35.05" hidden="false" customHeight="false" outlineLevel="0" collapsed="false">
      <c r="A9" s="2" t="s">
        <v>46</v>
      </c>
      <c r="B9" s="6" t="n">
        <v>3</v>
      </c>
      <c r="C9" s="2" t="s">
        <v>47</v>
      </c>
      <c r="D9" s="2" t="s">
        <v>48</v>
      </c>
      <c r="E9" s="2" t="s">
        <v>49</v>
      </c>
      <c r="F9" s="2" t="s">
        <v>50</v>
      </c>
      <c r="G9" s="4"/>
      <c r="H9" s="4"/>
      <c r="I9" s="4"/>
      <c r="J9" s="4"/>
      <c r="K9" s="4"/>
    </row>
    <row r="10" customFormat="false" ht="35.05" hidden="false" customHeight="false" outlineLevel="0" collapsed="false">
      <c r="A10" s="2" t="s">
        <v>51</v>
      </c>
      <c r="B10" s="6" t="n">
        <v>3</v>
      </c>
      <c r="C10" s="2" t="s">
        <v>52</v>
      </c>
      <c r="D10" s="2" t="s">
        <v>53</v>
      </c>
      <c r="E10" s="2" t="s">
        <v>54</v>
      </c>
      <c r="F10" s="2" t="s">
        <v>55</v>
      </c>
      <c r="G10" s="4"/>
      <c r="H10" s="4"/>
      <c r="I10" s="4"/>
      <c r="J10" s="4"/>
      <c r="K10" s="4"/>
    </row>
    <row r="11" customFormat="false" ht="23.85" hidden="false" customHeight="false" outlineLevel="0" collapsed="false">
      <c r="A11" s="2" t="s">
        <v>56</v>
      </c>
      <c r="B11" s="6" t="n">
        <v>3</v>
      </c>
      <c r="C11" s="2" t="s">
        <v>57</v>
      </c>
      <c r="D11" s="2" t="s">
        <v>58</v>
      </c>
      <c r="E11" s="2" t="s">
        <v>59</v>
      </c>
      <c r="F11" s="2" t="s">
        <v>60</v>
      </c>
      <c r="G11" s="4"/>
      <c r="H11" s="4"/>
      <c r="I11" s="4"/>
      <c r="J11" s="4"/>
      <c r="K11" s="4"/>
    </row>
    <row r="12" customFormat="false" ht="23.85" hidden="false" customHeight="false" outlineLevel="0" collapsed="false">
      <c r="A12" s="2" t="s">
        <v>61</v>
      </c>
      <c r="B12" s="5" t="n">
        <v>2</v>
      </c>
      <c r="C12" s="2" t="s">
        <v>62</v>
      </c>
      <c r="D12" s="2" t="s">
        <v>63</v>
      </c>
      <c r="E12" s="2" t="s">
        <v>64</v>
      </c>
      <c r="F12" s="2" t="s">
        <v>65</v>
      </c>
      <c r="G12" s="4"/>
      <c r="H12" s="4"/>
      <c r="I12" s="4"/>
      <c r="J12" s="4"/>
      <c r="K12" s="4"/>
    </row>
    <row r="13" customFormat="false" ht="23.85" hidden="false" customHeight="false" outlineLevel="0" collapsed="false">
      <c r="A13" s="2" t="s">
        <v>66</v>
      </c>
      <c r="B13" s="6" t="n">
        <v>3</v>
      </c>
      <c r="C13" s="2" t="s">
        <v>67</v>
      </c>
      <c r="D13" s="2" t="s">
        <v>68</v>
      </c>
      <c r="E13" s="2" t="s">
        <v>69</v>
      </c>
      <c r="F13" s="2" t="s">
        <v>70</v>
      </c>
      <c r="G13" s="4"/>
      <c r="H13" s="4"/>
      <c r="I13" s="4"/>
      <c r="J13" s="4"/>
      <c r="K13" s="4"/>
    </row>
    <row r="15" customFormat="false" ht="15" hidden="false" customHeight="false" outlineLevel="0" collapsed="false">
      <c r="A15" s="7" t="s">
        <v>71</v>
      </c>
    </row>
    <row r="16" customFormat="false" ht="15" hidden="false" customHeight="false" outlineLevel="0" collapsed="false">
      <c r="F16" s="8" t="s">
        <v>72</v>
      </c>
      <c r="G16" s="8" t="n">
        <f aca="false">SUM(G2:G13)</f>
        <v>0</v>
      </c>
      <c r="H16" s="8" t="n">
        <f aca="false">SUM(H2:H13)</f>
        <v>0</v>
      </c>
      <c r="I16" s="9" t="n">
        <f aca="false">SUM(I2:I13)</f>
        <v>0</v>
      </c>
      <c r="J16" s="9" t="n">
        <f aca="false">SUM(J2:J13)</f>
        <v>0</v>
      </c>
    </row>
    <row r="17" customFormat="false" ht="15" hidden="false" customHeight="false" outlineLevel="0" collapsed="false">
      <c r="F17" s="9" t="s">
        <v>73</v>
      </c>
      <c r="G17" s="10" t="str">
        <f aca="false">IF(COUNT(G2:G13)=0,"",SUM(G2:G13)/(2*12))</f>
        <v/>
      </c>
      <c r="H17" s="10" t="str">
        <f aca="false">IF(COUNT(H2:H13)=0,"",SUM(H2:H13)/(2*12))</f>
        <v/>
      </c>
    </row>
    <row r="18" customFormat="false" ht="15" hidden="false" customHeight="false" outlineLevel="0" collapsed="false">
      <c r="F18" s="9" t="s">
        <v>74</v>
      </c>
      <c r="G18" s="11" t="str">
        <f aca="false">IF(COUNTIF(G2:G13,2)=0,"",SUM(I2:I13)/COUNTIF(G2:G13,2))</f>
        <v/>
      </c>
      <c r="H18" s="11" t="str">
        <f aca="false">IF(COUNTIF(H2:H13,2)=0,"",SUM(J2:J13)/COUNTIF(H2:H13,2))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80"/>
  </cols>
  <sheetData>
    <row r="1" customFormat="false" ht="15" hidden="false" customHeight="false" outlineLevel="0" collapsed="false">
      <c r="A1" s="12" t="s">
        <v>75</v>
      </c>
      <c r="B1" s="12" t="s">
        <v>76</v>
      </c>
    </row>
    <row r="2" customFormat="false" ht="15" hidden="false" customHeight="false" outlineLevel="0" collapsed="false">
      <c r="A2" s="13" t="s">
        <v>77</v>
      </c>
      <c r="B2" s="13" t="s">
        <v>78</v>
      </c>
    </row>
    <row r="3" customFormat="false" ht="15" hidden="false" customHeight="false" outlineLevel="0" collapsed="false">
      <c r="A3" s="13" t="s">
        <v>79</v>
      </c>
      <c r="B3" s="13" t="s">
        <v>80</v>
      </c>
    </row>
    <row r="4" customFormat="false" ht="15" hidden="false" customHeight="false" outlineLevel="0" collapsed="false">
      <c r="A4" s="13" t="s">
        <v>81</v>
      </c>
      <c r="B4" s="13" t="s">
        <v>82</v>
      </c>
    </row>
    <row r="5" customFormat="false" ht="15" hidden="false" customHeight="false" outlineLevel="0" collapsed="false">
      <c r="A5" s="13" t="s">
        <v>83</v>
      </c>
      <c r="B5" s="13" t="s">
        <v>84</v>
      </c>
    </row>
    <row r="6" customFormat="false" ht="15" hidden="false" customHeight="false" outlineLevel="0" collapsed="false">
      <c r="A6" s="13" t="s">
        <v>85</v>
      </c>
      <c r="B6" s="13" t="s">
        <v>86</v>
      </c>
    </row>
    <row r="7" customFormat="false" ht="15" hidden="false" customHeight="false" outlineLevel="0" collapsed="false">
      <c r="A7" s="13" t="s">
        <v>87</v>
      </c>
      <c r="B7" s="13" t="s">
        <v>88</v>
      </c>
    </row>
    <row r="8" customFormat="false" ht="15" hidden="false" customHeight="false" outlineLevel="0" collapsed="false">
      <c r="A8" s="13" t="s">
        <v>89</v>
      </c>
      <c r="B8" s="13" t="s">
        <v>90</v>
      </c>
    </row>
    <row r="9" customFormat="false" ht="15" hidden="false" customHeight="false" outlineLevel="0" collapsed="false">
      <c r="A9" s="13" t="s">
        <v>91</v>
      </c>
      <c r="B9" s="13" t="s">
        <v>92</v>
      </c>
    </row>
    <row r="10" customFormat="false" ht="15" hidden="false" customHeight="false" outlineLevel="0" collapsed="false">
      <c r="A10" s="13" t="s">
        <v>93</v>
      </c>
      <c r="B10" s="13" t="s">
        <v>94</v>
      </c>
    </row>
    <row r="11" customFormat="false" ht="15" hidden="false" customHeight="false" outlineLevel="0" collapsed="false">
      <c r="A11" s="13" t="s">
        <v>95</v>
      </c>
      <c r="B11" s="13" t="s">
        <v>96</v>
      </c>
    </row>
    <row r="12" customFormat="false" ht="15" hidden="false" customHeight="false" outlineLevel="0" collapsed="false">
      <c r="A12" s="13" t="s">
        <v>97</v>
      </c>
      <c r="B12" s="13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2026-06-11T14:10:31Z</dcterms:created>
  <dc:creator>openpyxl</dc:creator>
  <dc:description/>
  <dc:language>en-US</dc:language>
  <cp:lastModifiedBy/>
  <dcterms:modified xsi:type="dcterms:W3CDTF">2026-06-11T14:10:31Z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